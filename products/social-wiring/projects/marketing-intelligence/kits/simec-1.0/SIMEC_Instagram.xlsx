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3a53d5c8c14b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ÍCIO" sheetId="1" r:id="R037d3de3f7a54b0b"/>
    <x:sheet xmlns:r="http://schemas.openxmlformats.org/officeDocument/2006/relationships" name="PAINEL" sheetId="2" r:id="Rd02f5c20019d4826"/>
    <x:sheet xmlns:r="http://schemas.openxmlformats.org/officeDocument/2006/relationships" name="DADOS" sheetId="3" r:id="R80bda7be17c045b7"/>
    <x:sheet xmlns:r="http://schemas.openxmlformats.org/officeDocument/2006/relationships" name="DECISÕES" sheetId="4" r:id="R90a5e66c7f244998"/>
    <x:sheet xmlns:r="http://schemas.openxmlformats.org/officeDocument/2006/relationships" name="GLOSSÁRIO" sheetId="5" r:id="Rc7e8f52a412648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dd/mm/yyyy"/>
    <x:numFmt numFmtId="201" formatCode="0"/>
    <x:numFmt numFmtId="202" formatCode="#,##0"/>
    <x:numFmt numFmtId="203" formatCode="0.0"/>
    <x:numFmt numFmtId="204" formatCode="0.0%"/>
    <x:numFmt numFmtId="205" formatCode="#,##0.0"/>
  </x:numFmts>
  <x:fonts count="7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9313A"/>
      <x:name val="Carlito"/>
    </x:font>
    <x:font>
      <x:b/>
      <x:sz val="10"/>
      <x:color rgb="FFFFFFFF"/>
      <x:name val="Carlito"/>
    </x:font>
    <x:font>
      <x:sz val="11"/>
      <x:color rgb="FF19313A"/>
      <x:name val="Carlito"/>
    </x:font>
    <x:font>
      <x:b/>
      <x:sz val="11"/>
      <x:color rgb="FFFFFFFF"/>
      <x:name val="Carlito"/>
    </x:font>
    <x:font>
      <x:b/>
      <x:sz val="9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9313A"/>
      </x:patternFill>
    </x:fill>
    <x:fill>
      <x:patternFill patternType="solid">
        <x:fgColor rgb="FFEDF4F2"/>
      </x:patternFill>
    </x:fill>
    <x:fill>
      <x:patternFill patternType="solid">
        <x:fgColor rgb="FFFFF7E7"/>
      </x:patternFill>
    </x:fill>
    <x:fill>
      <x:patternFill patternType="solid">
        <x:fgColor rgb="FF82624B"/>
      </x:patternFill>
    </x:fill>
    <x:fill>
      <x:patternFill patternType="solid">
        <x:fgColor rgb="FFF6F5F0"/>
      </x:patternFill>
    </x:fill>
    <x:fill>
      <x:patternFill patternType="solid">
        <x:fgColor rgb="FF5D6A70"/>
      </x:patternFill>
    </x:fill>
  </x:fills>
  <x:borders count="2">
    <x:border/>
    <x:border/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/>
    <x:xf numFmtId="200" fontId="0" fillId="4" borderId="1" xfId="0" applyNumberFormat="1" applyFont="1" applyFill="1" applyBorder="1"/>
    <x:xf numFmtId="201" fontId="0" fillId="4" borderId="0" xfId="0" applyNumberFormat="1" applyFont="1" applyFill="1" applyBorder="1"/>
    <x:xf numFmtId="201" fontId="0" fillId="4" borderId="1" xfId="0" applyNumberFormat="1" applyFont="1" applyFill="1" applyBorder="1"/>
    <x:xf numFmtId="202" fontId="0" fillId="4" borderId="0" xfId="0" applyNumberFormat="1" applyFont="1" applyFill="1" applyBorder="1"/>
    <x:xf numFmtId="202" fontId="0" fillId="4" borderId="1" xfId="0" applyNumberFormat="1" applyFont="1" applyFill="1" applyBorder="1"/>
    <x:xf numFmtId="203" fontId="0" fillId="4" borderId="0" xfId="0" applyNumberFormat="1" applyFont="1" applyFill="1" applyBorder="1"/>
    <x:xf numFmtId="203" fontId="0" fillId="4" borderId="1" xfId="0" applyNumberFormat="1" applyFont="1" applyFill="1" applyBorder="1"/>
    <x:xf numFmtId="204" fontId="0" fillId="4" borderId="0" xfId="0" applyNumberFormat="1" applyFont="1" applyFill="1" applyBorder="1"/>
    <x:xf numFmtId="204" fontId="0" fillId="4" borderId="1" xfId="0" applyNumberFormat="1" applyFont="1" applyFill="1" applyBorder="1"/>
    <x:xf numFmtId="202" fontId="0" fillId="3" borderId="0" xfId="0" applyNumberFormat="1" applyFont="1" applyFill="1" applyBorder="1"/>
    <x:xf numFmtId="202" fontId="0" fillId="3" borderId="1" xfId="0" applyNumberFormat="1" applyFont="1" applyFill="1" applyBorder="1"/>
    <x:xf numFmtId="204" fontId="0" fillId="3" borderId="0" xfId="0" applyNumberFormat="1" applyFont="1" applyFill="1" applyBorder="1"/>
    <x:xf numFmtId="204" fontId="0" fillId="3" borderId="1" xfId="0" applyNumberFormat="1" applyFont="1" applyFill="1" applyBorder="1"/>
    <x:xf numFmtId="201" fontId="0" fillId="3" borderId="0" xfId="0" applyNumberFormat="1" applyFont="1" applyFill="1" applyBorder="1"/>
    <x:xf numFmtId="201" fontId="0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3" borderId="0" xfId="0" applyNumberFormat="1" applyFont="1" applyFill="1" applyBorder="1"/>
    <x:xf numFmtId="205" fontId="0" fillId="3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9A3412"/>
      </x:font>
      <x:fill>
        <x:patternFill patternType="solid">
          <x:bgColor rgb="FFFCE4DB"/>
        </x:patternFill>
      </x:fill>
    </x:dxf>
    <x:dxf>
      <x:font>
        <x:color rgb="FF22623E"/>
      </x:font>
      <x:fill>
        <x:patternFill patternType="solid">
          <x:bgColor rgb="FFDCF4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c7f7d0794a4a9f" /><Relationship Type="http://schemas.openxmlformats.org/officeDocument/2006/relationships/theme" Target="/xl/theme/theme1.xml" Id="R86df1660f06a4e76" /><Relationship Type="http://schemas.openxmlformats.org/officeDocument/2006/relationships/sharedStrings" Target="/xl/sharedStrings.xml" Id="R9185da8d46bd445b" /><Relationship Type="http://schemas.openxmlformats.org/officeDocument/2006/relationships/worksheet" Target="/xl/worksheets/sheet1.xml" Id="R037d3de3f7a54b0b" /><Relationship Type="http://schemas.openxmlformats.org/officeDocument/2006/relationships/worksheet" Target="/xl/worksheets/sheet2.xml" Id="Rd02f5c20019d4826" /><Relationship Type="http://schemas.openxmlformats.org/officeDocument/2006/relationships/worksheet" Target="/xl/worksheets/sheet3.xml" Id="R80bda7be17c045b7" /><Relationship Type="http://schemas.openxmlformats.org/officeDocument/2006/relationships/worksheet" Target="/xl/worksheets/sheet4.xml" Id="R90a5e66c7f244998" /><Relationship Type="http://schemas.openxmlformats.org/officeDocument/2006/relationships/worksheet" Target="/xl/worksheets/sheet5.xml" Id="Rc7e8f52a412648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88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</x:cols>
  <x:sheetData>
    <x:row r="1" ht="37" customHeight="1">
      <x:c r="A1" s="4" t="str">
        <x:v>SIMEC  |  INSTAGRAM  |  MODELO UNIVERSAL</x:v>
      </x:c>
      <x:c r="B1" s="4"/>
      <x:c r="C1" s="4"/>
      <x:c r="D1" s="4"/>
      <x:c r="E1" s="4"/>
      <x:c r="F1" s="4"/>
      <x:c r="G1" s="4"/>
      <x:c r="H1" s="4"/>
    </x:row>
    <x:row r="3" ht="34" customHeight="1">
      <x:c r="A3" s="9" t="str">
        <x:v>Uma cópia desta planilha para cada perfil. Não misture clientes nem plataformas.</x:v>
      </x:c>
      <x:c r="B3" s="9"/>
      <x:c r="C3" s="9"/>
      <x:c r="D3" s="9"/>
      <x:c r="E3" s="9"/>
      <x:c r="F3" s="9"/>
      <x:c r="G3" s="9"/>
      <x:c r="H3" s="9"/>
    </x:row>
    <x:row r="5" ht="43" customHeight="1">
      <x:c r="A5" s="9" t="str">
        <x:v>1  Configure</x:v>
      </x:c>
      <x:c r="B5" s="12" t="str">
        <x:v>Abra uma cópia desta planilha para UM perfil do Instagram.</x:v>
      </x:c>
    </x:row>
    <x:row r="6" ht="43" customHeight="1">
      <x:c r="A6" s="9" t="str">
        <x:v>2  Preencha DADOS</x:v>
      </x:c>
      <x:c r="B6" s="12" t="str">
        <x:v>Preencha as colunas A–R. As colunas S–Z contêm fórmulas automáticas.</x:v>
      </x:c>
    </x:row>
    <x:row r="7" ht="43" customHeight="1">
      <x:c r="A7" s="9" t="str">
        <x:v>3  Escolha janela</x:v>
      </x:c>
      <x:c r="B7" s="12" t="str">
        <x:v>Use 7d entre 7–10 dias, 30d entre 30–35 dias. Use Atual apenas para monitoramento.</x:v>
      </x:c>
    </x:row>
    <x:row r="8" ht="43" customHeight="1">
      <x:c r="A8" s="9" t="str">
        <x:v>4  Não invente zero</x:v>
      </x:c>
      <x:c r="B8" s="12" t="str">
        <x:v>Se uma informação não aparece nos Insights, deixe a célula vazia.</x:v>
      </x:c>
    </x:row>
    <x:row r="9" ht="43" customHeight="1">
      <x:c r="A9" s="9" t="str">
        <x:v>5  Confira validação</x:v>
      </x:c>
      <x:c r="B9" s="12" t="str">
        <x:v>Somente linhas marcadas OK entram no PAINEL. Corrija os alertas.</x:v>
      </x:c>
    </x:row>
    <x:row r="10" ht="43" customHeight="1">
      <x:c r="A10" s="9" t="str">
        <x:v>6  Analise no GPT</x:v>
      </x:c>
      <x:c r="B10" s="12" t="str">
        <x:v>Anexe a planilha atualizada ao Projeto e envie ANALISAR INSTAGRAM.</x:v>
      </x:c>
    </x:row>
    <x:row r="11" ht="43" customHeight="1">
      <x:c r="A11" s="9" t="str">
        <x:v>7  Decida e teste</x:v>
      </x:c>
      <x:c r="B11" s="12" t="str">
        <x:v>Anote no DECISÕES o teste, o indicador de sucesso e o que ocorreu depois.</x:v>
      </x:c>
    </x:row>
    <x:row r="14" ht="31" customHeight="1">
      <x:c r="A14" s="15" t="str">
        <x:v>ATENÇÃO: o PAINEL usa médias simples das taxas de cada conteúdo e separa as três janelas.</x:v>
      </x:c>
      <x:c r="B14" s="15"/>
      <x:c r="C14" s="15"/>
      <x:c r="D14" s="15"/>
      <x:c r="E14" s="15"/>
      <x:c r="F14" s="15"/>
      <x:c r="G14" s="15"/>
      <x:c r="H14" s="15"/>
    </x:row>
    <x:row r="16">
      <x:c r="A16" t="str">
        <x:v>A aba DADOS é um formulário. As taxas da plataforma não são necessariamente comparáveis às de outras plataformas.</x:v>
      </x:c>
    </x:row>
  </x:sheetData>
  <x:mergeCells>
    <x:mergeCell ref="A1:H1"/>
    <x:mergeCell ref="A3:H3"/>
    <x:mergeCell ref="A14:H14"/>
    <x:mergeCell ref="A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3" hidden="0" customWidth="1"/>
    <x:col min="2" max="2" width="23" hidden="0" customWidth="1"/>
    <x:col min="3" max="3" width="23" hidden="0" customWidth="1"/>
    <x:col min="4" max="4" width="23" hidden="0" customWidth="1"/>
  </x:cols>
  <x:sheetData>
    <x:row r="1" ht="37" customHeight="1">
      <x:c r="A1" s="4" t="str">
        <x:v>SIMEC  |  PAINEL DE INDICADORES  |  INSTAGRAM</x:v>
      </x:c>
      <x:c r="B1" s="4"/>
      <x:c r="C1" s="4"/>
      <x:c r="D1" s="4"/>
      <x:c r="E1" s="4"/>
      <x:c r="F1" s="4"/>
    </x:row>
    <x:row r="3" ht="29" customHeight="1">
      <x:c r="A3" s="42" t="str">
        <x:v>Separação por janela de observação. Somente linhas com Validação = OK.</x:v>
      </x:c>
      <x:c r="B3" s="42"/>
      <x:c r="C3" s="42"/>
      <x:c r="D3" s="42"/>
      <x:c r="E3" s="42"/>
      <x:c r="F3" s="42"/>
    </x:row>
    <x:row r="5" ht="42" customHeight="1">
      <x:c r="A5" s="21" t="str">
        <x:v>INDICADOR</x:v>
      </x:c>
      <x:c r="B5" s="21" t="str">
        <x:v>7d</x:v>
      </x:c>
      <x:c r="C5" s="21" t="str">
        <x:v>30d</x:v>
      </x:c>
      <x:c r="D5" s="21" t="str">
        <x:v>Atual</x:v>
      </x:c>
    </x:row>
    <x:row r="6" ht="29" customHeight="1">
      <x:c r="A6" s="44" t="str">
        <x:v>Conteúdos válidos</x:v>
      </x:c>
      <x:c r="B6" s="36" t="n">
        <x:f>COUNTIFS(DADOS!$G$2:$G$201,B$5,DADOS!$Z$2:$Z$201,"OK")</x:f>
        <x:v>0</x:v>
      </x:c>
      <x:c r="C6" s="36" t="n">
        <x:f>COUNTIFS(DADOS!$G$2:$G$201,C$5,DADOS!$Z$2:$Z$201,"OK")</x:f>
        <x:v>0</x:v>
      </x:c>
      <x:c r="D6" s="36" t="n">
        <x:f>COUNTIFS(DADOS!$G$2:$G$201,D$5,DADOS!$Z$2:$Z$201,"OK")</x:f>
        <x:v>0</x:v>
      </x:c>
      <x:c r="F6"/>
    </x:row>
    <x:row r="7" ht="29" customHeight="1">
      <x:c r="A7" s="44" t="str">
        <x:v>Visualizações somadas</x:v>
      </x:c>
      <x:c r="B7" s="36" t="str">
        <x:f>IF(B6=0,"",SUMIFS(DADOS!$H$2:$H$201,DADOS!$G$2:$G$201,B$5,DADOS!$Z$2:$Z$201,"OK"))</x:f>
      </x:c>
      <x:c r="C7" s="36" t="str">
        <x:f>IF(C6=0,"",SUMIFS(DADOS!$H$2:$H$201,DADOS!$G$2:$G$201,C$5,DADOS!$Z$2:$Z$201,"OK"))</x:f>
      </x:c>
      <x:c r="D7" s="36" t="str">
        <x:f>IF(D6=0,"",SUMIFS(DADOS!$H$2:$H$201,DADOS!$G$2:$G$201,D$5,DADOS!$Z$2:$Z$201,"OK"))</x:f>
      </x:c>
      <x:c r="F7"/>
    </x:row>
    <x:row r="8" ht="29" customHeight="1">
      <x:c r="A8" s="44" t="str">
        <x:v>Média de visualizações</x:v>
      </x:c>
      <x:c r="B8" s="52" t="str">
        <x:f>IFERROR(SUMIFS(DADOS!$H$2:$H$201,DADOS!$G$2:$G$201,B$5,DADOS!$Z$2:$Z$201,"OK")/SUMIFS(DADOS!$AA$2:$AA$201,DADOS!$G$2:$G$201,B$5,DADOS!$Z$2:$Z$201,"OK"),"")</x:f>
      </x:c>
      <x:c r="C8" s="52" t="str">
        <x:f>IFERROR(SUMIFS(DADOS!$H$2:$H$201,DADOS!$G$2:$G$201,C$5,DADOS!$Z$2:$Z$201,"OK")/SUMIFS(DADOS!$AA$2:$AA$201,DADOS!$G$2:$G$201,C$5,DADOS!$Z$2:$Z$201,"OK"),"")</x:f>
      </x:c>
      <x:c r="D8" s="52" t="str">
        <x:f>IFERROR(SUMIFS(DADOS!$H$2:$H$201,DADOS!$G$2:$G$201,D$5,DADOS!$Z$2:$Z$201,"OK")/SUMIFS(DADOS!$AA$2:$AA$201,DADOS!$G$2:$G$201,D$5,DADOS!$Z$2:$Z$201,"OK"),"")</x:f>
      </x:c>
      <x:c r="F8"/>
    </x:row>
    <x:row r="9" ht="29" customHeight="1">
      <x:c r="A9" s="44" t="str">
        <x:v>Média de alcance</x:v>
      </x:c>
      <x:c r="B9" s="52" t="str">
        <x:f>IFERROR(SUMIFS(DADOS!$I$2:$I$201,DADOS!$G$2:$G$201,B$5,DADOS!$Z$2:$Z$201,"OK")/SUMIFS(DADOS!$AB$2:$AB$201,DADOS!$G$2:$G$201,B$5,DADOS!$Z$2:$Z$201,"OK"),"")</x:f>
      </x:c>
      <x:c r="C9" s="52" t="str">
        <x:f>IFERROR(SUMIFS(DADOS!$I$2:$I$201,DADOS!$G$2:$G$201,C$5,DADOS!$Z$2:$Z$201,"OK")/SUMIFS(DADOS!$AB$2:$AB$201,DADOS!$G$2:$G$201,C$5,DADOS!$Z$2:$Z$201,"OK"),"")</x:f>
      </x:c>
      <x:c r="D9" s="52" t="str">
        <x:f>IFERROR(SUMIFS(DADOS!$I$2:$I$201,DADOS!$G$2:$G$201,D$5,DADOS!$Z$2:$Z$201,"OK")/SUMIFS(DADOS!$AB$2:$AB$201,DADOS!$G$2:$G$201,D$5,DADOS!$Z$2:$Z$201,"OK"),"")</x:f>
      </x:c>
      <x:c r="F9"/>
    </x:row>
    <x:row r="10" ht="29" customHeight="1">
      <x:c r="A10" s="44" t="str">
        <x:v>Média da taxa de interação / alcance</x:v>
      </x:c>
      <x:c r="B10" s="38" t="str">
        <x:f>IFERROR(SUMIFS(DADOS!$T$2:$T$201,DADOS!$G$2:$G$201,B$5,DADOS!$Z$2:$Z$201,"OK")/SUMIFS(DADOS!$AC$2:$AC$201,DADOS!$G$2:$G$201,B$5,DADOS!$Z$2:$Z$201,"OK"),"")</x:f>
      </x:c>
      <x:c r="C10" s="38" t="str">
        <x:f>IFERROR(SUMIFS(DADOS!$T$2:$T$201,DADOS!$G$2:$G$201,C$5,DADOS!$Z$2:$Z$201,"OK")/SUMIFS(DADOS!$AC$2:$AC$201,DADOS!$G$2:$G$201,C$5,DADOS!$Z$2:$Z$201,"OK"),"")</x:f>
      </x:c>
      <x:c r="D10" s="38" t="str">
        <x:f>IFERROR(SUMIFS(DADOS!$T$2:$T$201,DADOS!$G$2:$G$201,D$5,DADOS!$Z$2:$Z$201,"OK")/SUMIFS(DADOS!$AC$2:$AC$201,DADOS!$G$2:$G$201,D$5,DADOS!$Z$2:$Z$201,"OK"),"")</x:f>
      </x:c>
      <x:c r="F10"/>
    </x:row>
    <x:row r="11" ht="29" customHeight="1">
      <x:c r="A11" s="44" t="str">
        <x:v>Média compartilhamentos / alcance</x:v>
      </x:c>
      <x:c r="B11" s="38" t="str">
        <x:f>IFERROR(SUMIFS(DADOS!$U$2:$U$201,DADOS!$G$2:$G$201,B$5,DADOS!$Z$2:$Z$201,"OK")/SUMIFS(DADOS!$AD$2:$AD$201,DADOS!$G$2:$G$201,B$5,DADOS!$Z$2:$Z$201,"OK"),"")</x:f>
      </x:c>
      <x:c r="C11" s="38" t="str">
        <x:f>IFERROR(SUMIFS(DADOS!$U$2:$U$201,DADOS!$G$2:$G$201,C$5,DADOS!$Z$2:$Z$201,"OK")/SUMIFS(DADOS!$AD$2:$AD$201,DADOS!$G$2:$G$201,C$5,DADOS!$Z$2:$Z$201,"OK"),"")</x:f>
      </x:c>
      <x:c r="D11" s="38" t="str">
        <x:f>IFERROR(SUMIFS(DADOS!$U$2:$U$201,DADOS!$G$2:$G$201,D$5,DADOS!$Z$2:$Z$201,"OK")/SUMIFS(DADOS!$AD$2:$AD$201,DADOS!$G$2:$G$201,D$5,DADOS!$Z$2:$Z$201,"OK"),"")</x:f>
      </x:c>
      <x:c r="F11"/>
    </x:row>
    <x:row r="12" ht="29" customHeight="1">
      <x:c r="A12" s="44" t="str">
        <x:v>Média salvamentos / alcance</x:v>
      </x:c>
      <x:c r="B12" s="38" t="str">
        <x:f>IFERROR(SUMIFS(DADOS!$V$2:$V$201,DADOS!$G$2:$G$201,B$5,DADOS!$Z$2:$Z$201,"OK")/SUMIFS(DADOS!$AE$2:$AE$201,DADOS!$G$2:$G$201,B$5,DADOS!$Z$2:$Z$201,"OK"),"")</x:f>
      </x:c>
      <x:c r="C12" s="38" t="str">
        <x:f>IFERROR(SUMIFS(DADOS!$V$2:$V$201,DADOS!$G$2:$G$201,C$5,DADOS!$Z$2:$Z$201,"OK")/SUMIFS(DADOS!$AE$2:$AE$201,DADOS!$G$2:$G$201,C$5,DADOS!$Z$2:$Z$201,"OK"),"")</x:f>
      </x:c>
      <x:c r="D12" s="38" t="str">
        <x:f>IFERROR(SUMIFS(DADOS!$V$2:$V$201,DADOS!$G$2:$G$201,D$5,DADOS!$Z$2:$Z$201,"OK")/SUMIFS(DADOS!$AE$2:$AE$201,DADOS!$G$2:$G$201,D$5,DADOS!$Z$2:$Z$201,"OK"),"")</x:f>
      </x:c>
      <x:c r="F12"/>
    </x:row>
    <x:row r="13" ht="29" customHeight="1">
      <x:c r="A13" s="44" t="str">
        <x:v>Média seguidores / alcance</x:v>
      </x:c>
      <x:c r="B13" s="38" t="str">
        <x:f>IFERROR(SUMIFS(DADOS!$W$2:$W$201,DADOS!$G$2:$G$201,B$5,DADOS!$Z$2:$Z$201,"OK")/SUMIFS(DADOS!$AF$2:$AF$201,DADOS!$G$2:$G$201,B$5,DADOS!$Z$2:$Z$201,"OK"),"")</x:f>
      </x:c>
      <x:c r="C13" s="38" t="str">
        <x:f>IFERROR(SUMIFS(DADOS!$W$2:$W$201,DADOS!$G$2:$G$201,C$5,DADOS!$Z$2:$Z$201,"OK")/SUMIFS(DADOS!$AF$2:$AF$201,DADOS!$G$2:$G$201,C$5,DADOS!$Z$2:$Z$201,"OK"),"")</x:f>
      </x:c>
      <x:c r="D13" s="38" t="str">
        <x:f>IFERROR(SUMIFS(DADOS!$W$2:$W$201,DADOS!$G$2:$G$201,D$5,DADOS!$Z$2:$Z$201,"OK")/SUMIFS(DADOS!$AF$2:$AF$201,DADOS!$G$2:$G$201,D$5,DADOS!$Z$2:$Z$201,"OK"),"")</x:f>
      </x:c>
      <x:c r="F13"/>
    </x:row>
    <x:row r="14" ht="29" customHeight="1">
      <x:c r="A14" s="44" t="str">
        <x:v>Média tempo médio / duração</x:v>
      </x:c>
      <x:c r="B14" s="38" t="str">
        <x:f>IFERROR(SUMIFS(DADOS!$X$2:$X$201,DADOS!$G$2:$G$201,B$5,DADOS!$Z$2:$Z$201,"OK")/SUMIFS(DADOS!$AG$2:$AG$201,DADOS!$G$2:$G$201,B$5,DADOS!$Z$2:$Z$201,"OK"),"")</x:f>
      </x:c>
      <x:c r="C14" s="38" t="str">
        <x:f>IFERROR(SUMIFS(DADOS!$X$2:$X$201,DADOS!$G$2:$G$201,C$5,DADOS!$Z$2:$Z$201,"OK")/SUMIFS(DADOS!$AG$2:$AG$201,DADOS!$G$2:$G$201,C$5,DADOS!$Z$2:$Z$201,"OK"),"")</x:f>
      </x:c>
      <x:c r="D14" s="38" t="str">
        <x:f>IFERROR(SUMIFS(DADOS!$X$2:$X$201,DADOS!$G$2:$G$201,D$5,DADOS!$Z$2:$Z$201,"OK")/SUMIFS(DADOS!$AG$2:$AG$201,DADOS!$G$2:$G$201,D$5,DADOS!$Z$2:$Z$201,"OK"),"")</x:f>
      </x:c>
      <x:c r="F14"/>
    </x:row>
    <x:row r="15" ht="29" customHeight="1">
      <x:c r="A15" s="44" t="str">
        <x:v>Média taxa de pulo registrada</x:v>
      </x:c>
      <x:c r="B15" s="38" t="str">
        <x:f>IFERROR(SUMIFS(DADOS!$P$2:$P$201,DADOS!$G$2:$G$201,B$5,DADOS!$Z$2:$Z$201,"OK")/SUMIFS(DADOS!$AH$2:$AH$201,DADOS!$G$2:$G$201,B$5,DADOS!$Z$2:$Z$201,"OK"),"")</x:f>
      </x:c>
      <x:c r="C15" s="38" t="str">
        <x:f>IFERROR(SUMIFS(DADOS!$P$2:$P$201,DADOS!$G$2:$G$201,C$5,DADOS!$Z$2:$Z$201,"OK")/SUMIFS(DADOS!$AH$2:$AH$201,DADOS!$G$2:$G$201,C$5,DADOS!$Z$2:$Z$201,"OK"),"")</x:f>
      </x:c>
      <x:c r="D15" s="38" t="str">
        <x:f>IFERROR(SUMIFS(DADOS!$P$2:$P$201,DADOS!$G$2:$G$201,D$5,DADOS!$Z$2:$Z$201,"OK")/SUMIFS(DADOS!$AH$2:$AH$201,DADOS!$G$2:$G$201,D$5,DADOS!$Z$2:$Z$201,"OK"),"")</x:f>
      </x:c>
      <x:c r="F15"/>
    </x:row>
    <x:row r="16" ht="29" customHeight="1">
      <x:c r="A16" s="44" t="str">
        <x:v>Amostra com taxa de interação</x:v>
      </x:c>
      <x:c r="B16" s="36" t="n">
        <x:f>SUMIFS(DADOS!$AC$2:$AC$201,DADOS!$G$2:$G$201,B$5,DADOS!$Z$2:$Z$201,"OK")</x:f>
        <x:v>0</x:v>
      </x:c>
      <x:c r="C16" s="36" t="n">
        <x:f>SUMIFS(DADOS!$AC$2:$AC$201,DADOS!$G$2:$G$201,C$5,DADOS!$Z$2:$Z$201,"OK")</x:f>
        <x:v>0</x:v>
      </x:c>
      <x:c r="D16" s="36" t="n">
        <x:f>SUMIFS(DADOS!$AC$2:$AC$201,DADOS!$G$2:$G$201,D$5,DADOS!$Z$2:$Z$201,"OK")</x:f>
        <x:v>0</x:v>
      </x:c>
    </x:row>
    <x:row r="17" ht="29" customHeight="1">
      <x:c r="A17" s="44" t="str">
        <x:v>Amostra com taxa de seguidores</x:v>
      </x:c>
      <x:c r="B17" s="36" t="n">
        <x:f>SUMIFS(DADOS!$AF$2:$AF$201,DADOS!$G$2:$G$201,B$5,DADOS!$Z$2:$Z$201,"OK")</x:f>
        <x:v>0</x:v>
      </x:c>
      <x:c r="C17" s="36" t="n">
        <x:f>SUMIFS(DADOS!$AF$2:$AF$201,DADOS!$G$2:$G$201,C$5,DADOS!$Z$2:$Z$201,"OK")</x:f>
        <x:v>0</x:v>
      </x:c>
      <x:c r="D17" s="36" t="n">
        <x:f>SUMIFS(DADOS!$AF$2:$AF$201,DADOS!$G$2:$G$201,D$5,DADOS!$Z$2:$Z$201,"OK")</x:f>
        <x:v>0</x:v>
      </x:c>
    </x:row>
    <x:row r="20" ht="26" customHeight="1">
      <x:c r="A20" s="54" t="str">
        <x:v>COMO LER ESTE PAINEL</x:v>
      </x:c>
      <x:c r="B20" s="54"/>
      <x:c r="C20" s="54"/>
      <x:c r="D20" s="54"/>
      <x:c r="E20" s="54"/>
      <x:c r="F20" s="54"/>
    </x:row>
    <x:row r="22" ht="25" customHeight="1">
      <x:c r="A22" t="str">
        <x:v>• A média das taxas é calculada sobre os conteúdos com aquela informação disponível.</x:v>
      </x:c>
    </x:row>
    <x:row r="23" ht="25" customHeight="1">
      <x:c r="A23" t="str">
        <x:v>• 7d, 30d e Atual são recortes diferentes e não devem ser tratados como mesma amostra.</x:v>
      </x:c>
    </x:row>
    <x:row r="24" ht="25" customHeight="1">
      <x:c r="A24" t="str">
        <x:v>• A razão tempo médio/duração pode superar 100%; ela não é a curva de retenção.</x:v>
      </x:c>
    </x:row>
    <x:row r="25" ht="25" customHeight="1">
      <x:c r="A25" t="str">
        <x:v>• Use a aba DECISÕES para registrar o resultado de cada teste planejado.</x:v>
      </x:c>
    </x:row>
    <x:row r="26" ht="25" customHeight="1">
      <x:c r="A26" t="str">
        <x:v>• Confira a aba DADOS antes de confiar em uma interpretação.</x:v>
      </x:c>
    </x:row>
    <x:row r="29" ht="26" customHeight="1">
      <x:c r="A29" s="15" t="str">
        <x:v>Ao analisar outra marca, crie uma CÓPIA NOVA deste arquivo.</x:v>
      </x:c>
      <x:c r="B29" s="15"/>
      <x:c r="C29" s="15"/>
      <x:c r="D29" s="15"/>
      <x:c r="E29" s="15"/>
      <x:c r="F29" s="15"/>
    </x:row>
  </x:sheetData>
  <x:mergeCells>
    <x:mergeCell ref="A1:F1"/>
    <x:mergeCell ref="A3:F3"/>
    <x:mergeCell ref="A20:F20"/>
    <x:mergeCell ref="A22:F22"/>
    <x:mergeCell ref="A23:F23"/>
    <x:mergeCell ref="A24:F24"/>
    <x:mergeCell ref="A25:F25"/>
    <x:mergeCell ref="A26:F26"/>
    <x:mergeCell ref="A29:F2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4" ySplit="1" topLeftCell="E2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25" hidden="0" customWidth="1"/>
    <x:col min="4" max="4" width="36" hidden="0" customWidth="1"/>
    <x:col min="5" max="5" width="16" hidden="0" customWidth="1"/>
    <x:col min="6" max="6" width="14" hidden="0" customWidth="1"/>
    <x:col min="7" max="7" width="14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31" hidden="0" customWidth="1"/>
    <x:col min="18" max="18" width="34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2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</x:cols>
  <x:sheetData>
    <x:row r="1" ht="42" customHeight="1">
      <x:c r="A1" s="21" t="str">
        <x:v>Data publicação</x:v>
      </x:c>
      <x:c r="B1" s="21" t="str">
        <x:v>Data coleta</x:v>
      </x:c>
      <x:c r="C1" s="21" t="str">
        <x:v>ID ou link</x:v>
      </x:c>
      <x:c r="D1" s="21" t="str">
        <x:v>Tema / título</x:v>
      </x:c>
      <x:c r="E1" s="21" t="str">
        <x:v>Formato</x:v>
      </x:c>
      <x:c r="F1" s="21" t="str">
        <x:v>Duração (s)</x:v>
      </x:c>
      <x:c r="G1" s="21" t="str">
        <x:v>Janela</x:v>
      </x:c>
      <x:c r="H1" s="21" t="str">
        <x:v>Visualizações</x:v>
      </x:c>
      <x:c r="I1" s="21" t="str">
        <x:v>Alcance</x:v>
      </x:c>
      <x:c r="J1" s="21" t="str">
        <x:v>Curtidas</x:v>
      </x:c>
      <x:c r="K1" s="21" t="str">
        <x:v>Comentários</x:v>
      </x:c>
      <x:c r="L1" s="21" t="str">
        <x:v>Compartilhamentos</x:v>
      </x:c>
      <x:c r="M1" s="21" t="str">
        <x:v>Salvamentos</x:v>
      </x:c>
      <x:c r="N1" s="21" t="str">
        <x:v>Seguidores atribuídos</x:v>
      </x:c>
      <x:c r="O1" s="21" t="str">
        <x:v>Tempo médio (s)</x:v>
      </x:c>
      <x:c r="P1" s="21" t="str">
        <x:v>Taxa de pulo</x:v>
      </x:c>
      <x:c r="Q1" s="21" t="str">
        <x:v>Fonte dos dados</x:v>
      </x:c>
      <x:c r="R1" s="21" t="str">
        <x:v>Observações</x:v>
      </x:c>
      <x:c r="S1" s="21" t="str">
        <x:v>Total interações</x:v>
      </x:c>
      <x:c r="T1" s="21" t="str">
        <x:v>Interação / alcance</x:v>
      </x:c>
      <x:c r="U1" s="21" t="str">
        <x:v>Compart. / alcance</x:v>
      </x:c>
      <x:c r="V1" s="21" t="str">
        <x:v>Salvam. / alcance</x:v>
      </x:c>
      <x:c r="W1" s="21" t="str">
        <x:v>Seguid. / alcance</x:v>
      </x:c>
      <x:c r="X1" s="21" t="str">
        <x:v>Tempo méd. / duração</x:v>
      </x:c>
      <x:c r="Y1" s="21" t="str">
        <x:v>Dias até coleta</x:v>
      </x:c>
      <x:c r="Z1" s="21" t="str">
        <x:v>Validação</x:v>
      </x:c>
      <x:c r="AA1" s="58" t="str">
        <x:v>flag views</x:v>
      </x:c>
      <x:c r="AB1" s="58" t="str">
        <x:v>flag alcance/likes</x:v>
      </x:c>
      <x:c r="AC1" s="58" t="str">
        <x:v>flag interação</x:v>
      </x:c>
      <x:c r="AD1" s="58" t="str">
        <x:v>flag compart.</x:v>
      </x:c>
      <x:c r="AE1" s="58" t="str">
        <x:v>flag salv./favor.</x:v>
      </x:c>
      <x:c r="AF1" s="58" t="str">
        <x:v>flag seguidores</x:v>
      </x:c>
      <x:c r="AG1" s="58" t="str">
        <x:v>flag tempo/duração</x:v>
      </x:c>
      <x:c r="AH1" s="58" t="str">
        <x:v>flag pulo/Para Você</x:v>
      </x:c>
      <x:c r="AI1" s="58" t="str">
        <x:v>flag tempo médio/final</x:v>
      </x:c>
    </x:row>
    <x:row r="2" ht="22" customHeight="1">
      <x:c r="A2" s="26"/>
      <x:c r="B2" s="26"/>
      <x:c r="C2" s="14"/>
      <x:c r="D2" s="14"/>
      <x:c r="E2" s="14"/>
      <x:c r="F2" s="28"/>
      <x:c r="G2" s="14"/>
      <x:c r="H2" s="30"/>
      <x:c r="I2" s="30"/>
      <x:c r="J2" s="30"/>
      <x:c r="K2" s="30"/>
      <x:c r="L2" s="30"/>
      <x:c r="M2" s="30"/>
      <x:c r="N2" s="30"/>
      <x:c r="O2" s="32"/>
      <x:c r="P2" s="34"/>
      <x:c r="Q2" s="14"/>
      <x:c r="R2" s="14"/>
      <x:c r="S2" s="36" t="str">
        <x:f>IF(COUNT(J2:M2)&lt;4,"",SUM(J2:M2))</x:f>
      </x:c>
      <x:c r="T2" s="38" t="str">
        <x:f>IF(OR(S2="",I2="",I2&lt;=0),"",S2/I2)</x:f>
      </x:c>
      <x:c r="U2" s="38" t="str">
        <x:f>IF(OR(L2="",I2="",I2&lt;=0),"",L2/I2)</x:f>
      </x:c>
      <x:c r="V2" s="38" t="str">
        <x:f>IF(OR(M2="",I2="",I2&lt;=0),"",M2/I2)</x:f>
      </x:c>
      <x:c r="W2" s="38" t="str">
        <x:f>IF(OR(N2="",I2="",I2&lt;=0),"",N2/I2)</x:f>
      </x:c>
      <x:c r="X2" s="38" t="str">
        <x:f>IF(OR(O2="",F2="",F2&lt;=0),"",O2/F2)</x:f>
      </x:c>
      <x:c r="Y2" s="40" t="str">
        <x:f>IF(OR(A2="",B2=""),"",B2-A2)</x:f>
      </x:c>
      <x:c r="Z2" s="8" t="str">
        <x:f>IF(COUNTA(A2:R2)=0,"",IF(OR(A2="",B2="",C2="",G2="",H2=""),"INCOMPLETO",IF(B2&lt;A2,"DATA INVÁLIDA",IF(AND(G2="7d",OR(Y2&lt;7,Y2&gt;10)),"FORA DA JANELA",IF(AND(G2="30d",OR(Y2&lt;30,Y2&gt;35)),"FORA DA JANELA",IF(COUNTIFS($C$2:$C$201,C2,$G$2:$G$201,G2)&gt;1,"DUPLICADO","OK"))))))</x:f>
      </x:c>
      <x:c r="AA2" s="44" t="n">
        <x:f>IF(ISNUMBER(H2),1,0)</x:f>
        <x:v>0</x:v>
      </x:c>
      <x:c r="AB2" s="44" t="n">
        <x:f>IF(ISNUMBER(I2),1,0)</x:f>
        <x:v>0</x:v>
      </x:c>
      <x:c r="AC2" s="44" t="n">
        <x:f>IF(ISNUMBER(T2),1,0)</x:f>
        <x:v>0</x:v>
      </x:c>
      <x:c r="AD2" s="44" t="n">
        <x:f>IF(ISNUMBER(U2),1,0)</x:f>
        <x:v>0</x:v>
      </x:c>
      <x:c r="AE2" s="44" t="n">
        <x:f>IF(ISNUMBER(V2),1,0)</x:f>
        <x:v>0</x:v>
      </x:c>
      <x:c r="AF2" s="44" t="n">
        <x:f>IF(ISNUMBER(W2),1,0)</x:f>
        <x:v>0</x:v>
      </x:c>
      <x:c r="AG2" s="44" t="n">
        <x:f>IF(ISNUMBER(X2),1,0)</x:f>
        <x:v>0</x:v>
      </x:c>
      <x:c r="AH2" s="44" t="n">
        <x:f>IF(ISNUMBER(P2),1,0)</x:f>
        <x:v>0</x:v>
      </x:c>
      <x:c r="AI2" s="44" t="n">
        <x:f>IF(ISNUMBER(O2),1,0)</x:f>
        <x:v>0</x:v>
      </x:c>
    </x:row>
    <x:row r="3" ht="22" customHeight="1">
      <x:c r="A3" s="26"/>
      <x:c r="B3" s="26"/>
      <x:c r="C3" s="14"/>
      <x:c r="D3" s="14"/>
      <x:c r="E3" s="14"/>
      <x:c r="F3" s="28"/>
      <x:c r="G3" s="14"/>
      <x:c r="H3" s="30"/>
      <x:c r="I3" s="30"/>
      <x:c r="J3" s="30"/>
      <x:c r="K3" s="30"/>
      <x:c r="L3" s="30"/>
      <x:c r="M3" s="30"/>
      <x:c r="N3" s="30"/>
      <x:c r="O3" s="32"/>
      <x:c r="P3" s="34"/>
      <x:c r="Q3" s="14"/>
      <x:c r="R3" s="14"/>
      <x:c r="S3" s="36" t="str">
        <x:f>IF(COUNT(J3:M3)&lt;4,"",SUM(J3:M3))</x:f>
      </x:c>
      <x:c r="T3" s="38" t="str">
        <x:f>IF(OR(S3="",I3="",I3&lt;=0),"",S3/I3)</x:f>
      </x:c>
      <x:c r="U3" s="38" t="str">
        <x:f>IF(OR(L3="",I3="",I3&lt;=0),"",L3/I3)</x:f>
      </x:c>
      <x:c r="V3" s="38" t="str">
        <x:f>IF(OR(M3="",I3="",I3&lt;=0),"",M3/I3)</x:f>
      </x:c>
      <x:c r="W3" s="38" t="str">
        <x:f>IF(OR(N3="",I3="",I3&lt;=0),"",N3/I3)</x:f>
      </x:c>
      <x:c r="X3" s="38" t="str">
        <x:f>IF(OR(O3="",F3="",F3&lt;=0),"",O3/F3)</x:f>
      </x:c>
      <x:c r="Y3" s="40" t="str">
        <x:f>IF(OR(A3="",B3=""),"",B3-A3)</x:f>
      </x:c>
      <x:c r="Z3" s="8" t="str">
        <x:f>IF(COUNTA(A3:R3)=0,"",IF(OR(A3="",B3="",C3="",G3="",H3=""),"INCOMPLETO",IF(B3&lt;A3,"DATA INVÁLIDA",IF(AND(G3="7d",OR(Y3&lt;7,Y3&gt;10)),"FORA DA JANELA",IF(AND(G3="30d",OR(Y3&lt;30,Y3&gt;35)),"FORA DA JANELA",IF(COUNTIFS($C$2:$C$201,C3,$G$2:$G$201,G3)&gt;1,"DUPLICADO","OK"))))))</x:f>
      </x:c>
      <x:c r="AA3" s="44" t="n">
        <x:f>IF(ISNUMBER(H3),1,0)</x:f>
        <x:v>0</x:v>
      </x:c>
      <x:c r="AB3" s="44" t="n">
        <x:f>IF(ISNUMBER(I3),1,0)</x:f>
        <x:v>0</x:v>
      </x:c>
      <x:c r="AC3" s="44" t="n">
        <x:f>IF(ISNUMBER(T3),1,0)</x:f>
        <x:v>0</x:v>
      </x:c>
      <x:c r="AD3" s="44" t="n">
        <x:f>IF(ISNUMBER(U3),1,0)</x:f>
        <x:v>0</x:v>
      </x:c>
      <x:c r="AE3" s="44" t="n">
        <x:f>IF(ISNUMBER(V3),1,0)</x:f>
        <x:v>0</x:v>
      </x:c>
      <x:c r="AF3" s="44" t="n">
        <x:f>IF(ISNUMBER(W3),1,0)</x:f>
        <x:v>0</x:v>
      </x:c>
      <x:c r="AG3" s="44" t="n">
        <x:f>IF(ISNUMBER(X3),1,0)</x:f>
        <x:v>0</x:v>
      </x:c>
      <x:c r="AH3" s="44" t="n">
        <x:f>IF(ISNUMBER(P3),1,0)</x:f>
        <x:v>0</x:v>
      </x:c>
      <x:c r="AI3" s="44" t="n">
        <x:f>IF(ISNUMBER(O3),1,0)</x:f>
        <x:v>0</x:v>
      </x:c>
    </x:row>
    <x:row r="4" ht="22" customHeight="1">
      <x:c r="A4" s="26"/>
      <x:c r="B4" s="26"/>
      <x:c r="C4" s="14"/>
      <x:c r="D4" s="14"/>
      <x:c r="E4" s="14"/>
      <x:c r="F4" s="28"/>
      <x:c r="G4" s="14"/>
      <x:c r="H4" s="30"/>
      <x:c r="I4" s="30"/>
      <x:c r="J4" s="30"/>
      <x:c r="K4" s="30"/>
      <x:c r="L4" s="30"/>
      <x:c r="M4" s="30"/>
      <x:c r="N4" s="30"/>
      <x:c r="O4" s="32"/>
      <x:c r="P4" s="34"/>
      <x:c r="Q4" s="14"/>
      <x:c r="R4" s="14"/>
      <x:c r="S4" s="36" t="str">
        <x:f>IF(COUNT(J4:M4)&lt;4,"",SUM(J4:M4))</x:f>
      </x:c>
      <x:c r="T4" s="38" t="str">
        <x:f>IF(OR(S4="",I4="",I4&lt;=0),"",S4/I4)</x:f>
      </x:c>
      <x:c r="U4" s="38" t="str">
        <x:f>IF(OR(L4="",I4="",I4&lt;=0),"",L4/I4)</x:f>
      </x:c>
      <x:c r="V4" s="38" t="str">
        <x:f>IF(OR(M4="",I4="",I4&lt;=0),"",M4/I4)</x:f>
      </x:c>
      <x:c r="W4" s="38" t="str">
        <x:f>IF(OR(N4="",I4="",I4&lt;=0),"",N4/I4)</x:f>
      </x:c>
      <x:c r="X4" s="38" t="str">
        <x:f>IF(OR(O4="",F4="",F4&lt;=0),"",O4/F4)</x:f>
      </x:c>
      <x:c r="Y4" s="40" t="str">
        <x:f>IF(OR(A4="",B4=""),"",B4-A4)</x:f>
      </x:c>
      <x:c r="Z4" s="8" t="str">
        <x:f>IF(COUNTA(A4:R4)=0,"",IF(OR(A4="",B4="",C4="",G4="",H4=""),"INCOMPLETO",IF(B4&lt;A4,"DATA INVÁLIDA",IF(AND(G4="7d",OR(Y4&lt;7,Y4&gt;10)),"FORA DA JANELA",IF(AND(G4="30d",OR(Y4&lt;30,Y4&gt;35)),"FORA DA JANELA",IF(COUNTIFS($C$2:$C$201,C4,$G$2:$G$201,G4)&gt;1,"DUPLICADO","OK"))))))</x:f>
      </x:c>
      <x:c r="AA4" s="44" t="n">
        <x:f>IF(ISNUMBER(H4),1,0)</x:f>
        <x:v>0</x:v>
      </x:c>
      <x:c r="AB4" s="44" t="n">
        <x:f>IF(ISNUMBER(I4),1,0)</x:f>
        <x:v>0</x:v>
      </x:c>
      <x:c r="AC4" s="44" t="n">
        <x:f>IF(ISNUMBER(T4),1,0)</x:f>
        <x:v>0</x:v>
      </x:c>
      <x:c r="AD4" s="44" t="n">
        <x:f>IF(ISNUMBER(U4),1,0)</x:f>
        <x:v>0</x:v>
      </x:c>
      <x:c r="AE4" s="44" t="n">
        <x:f>IF(ISNUMBER(V4),1,0)</x:f>
        <x:v>0</x:v>
      </x:c>
      <x:c r="AF4" s="44" t="n">
        <x:f>IF(ISNUMBER(W4),1,0)</x:f>
        <x:v>0</x:v>
      </x:c>
      <x:c r="AG4" s="44" t="n">
        <x:f>IF(ISNUMBER(X4),1,0)</x:f>
        <x:v>0</x:v>
      </x:c>
      <x:c r="AH4" s="44" t="n">
        <x:f>IF(ISNUMBER(P4),1,0)</x:f>
        <x:v>0</x:v>
      </x:c>
      <x:c r="AI4" s="44" t="n">
        <x:f>IF(ISNUMBER(O4),1,0)</x:f>
        <x:v>0</x:v>
      </x:c>
    </x:row>
    <x:row r="5" ht="22" customHeight="1">
      <x:c r="A5" s="26"/>
      <x:c r="B5" s="26"/>
      <x:c r="C5" s="14"/>
      <x:c r="D5" s="14"/>
      <x:c r="E5" s="14"/>
      <x:c r="F5" s="28"/>
      <x:c r="G5" s="14"/>
      <x:c r="H5" s="30"/>
      <x:c r="I5" s="30"/>
      <x:c r="J5" s="30"/>
      <x:c r="K5" s="30"/>
      <x:c r="L5" s="30"/>
      <x:c r="M5" s="30"/>
      <x:c r="N5" s="30"/>
      <x:c r="O5" s="32"/>
      <x:c r="P5" s="34"/>
      <x:c r="Q5" s="14"/>
      <x:c r="R5" s="14"/>
      <x:c r="S5" s="36" t="str">
        <x:f>IF(COUNT(J5:M5)&lt;4,"",SUM(J5:M5))</x:f>
      </x:c>
      <x:c r="T5" s="38" t="str">
        <x:f>IF(OR(S5="",I5="",I5&lt;=0),"",S5/I5)</x:f>
      </x:c>
      <x:c r="U5" s="38" t="str">
        <x:f>IF(OR(L5="",I5="",I5&lt;=0),"",L5/I5)</x:f>
      </x:c>
      <x:c r="V5" s="38" t="str">
        <x:f>IF(OR(M5="",I5="",I5&lt;=0),"",M5/I5)</x:f>
      </x:c>
      <x:c r="W5" s="38" t="str">
        <x:f>IF(OR(N5="",I5="",I5&lt;=0),"",N5/I5)</x:f>
      </x:c>
      <x:c r="X5" s="38" t="str">
        <x:f>IF(OR(O5="",F5="",F5&lt;=0),"",O5/F5)</x:f>
      </x:c>
      <x:c r="Y5" s="40" t="str">
        <x:f>IF(OR(A5="",B5=""),"",B5-A5)</x:f>
      </x:c>
      <x:c r="Z5" s="8" t="str">
        <x:f>IF(COUNTA(A5:R5)=0,"",IF(OR(A5="",B5="",C5="",G5="",H5=""),"INCOMPLETO",IF(B5&lt;A5,"DATA INVÁLIDA",IF(AND(G5="7d",OR(Y5&lt;7,Y5&gt;10)),"FORA DA JANELA",IF(AND(G5="30d",OR(Y5&lt;30,Y5&gt;35)),"FORA DA JANELA",IF(COUNTIFS($C$2:$C$201,C5,$G$2:$G$201,G5)&gt;1,"DUPLICADO","OK"))))))</x:f>
      </x:c>
      <x:c r="AA5" s="44" t="n">
        <x:f>IF(ISNUMBER(H5),1,0)</x:f>
        <x:v>0</x:v>
      </x:c>
      <x:c r="AB5" s="44" t="n">
        <x:f>IF(ISNUMBER(I5),1,0)</x:f>
        <x:v>0</x:v>
      </x:c>
      <x:c r="AC5" s="44" t="n">
        <x:f>IF(ISNUMBER(T5),1,0)</x:f>
        <x:v>0</x:v>
      </x:c>
      <x:c r="AD5" s="44" t="n">
        <x:f>IF(ISNUMBER(U5),1,0)</x:f>
        <x:v>0</x:v>
      </x:c>
      <x:c r="AE5" s="44" t="n">
        <x:f>IF(ISNUMBER(V5),1,0)</x:f>
        <x:v>0</x:v>
      </x:c>
      <x:c r="AF5" s="44" t="n">
        <x:f>IF(ISNUMBER(W5),1,0)</x:f>
        <x:v>0</x:v>
      </x:c>
      <x:c r="AG5" s="44" t="n">
        <x:f>IF(ISNUMBER(X5),1,0)</x:f>
        <x:v>0</x:v>
      </x:c>
      <x:c r="AH5" s="44" t="n">
        <x:f>IF(ISNUMBER(P5),1,0)</x:f>
        <x:v>0</x:v>
      </x:c>
      <x:c r="AI5" s="44" t="n">
        <x:f>IF(ISNUMBER(O5),1,0)</x:f>
        <x:v>0</x:v>
      </x:c>
    </x:row>
    <x:row r="6" ht="22" customHeight="1">
      <x:c r="A6" s="26"/>
      <x:c r="B6" s="26"/>
      <x:c r="C6" s="14"/>
      <x:c r="D6" s="14"/>
      <x:c r="E6" s="14"/>
      <x:c r="F6" s="28"/>
      <x:c r="G6" s="14"/>
      <x:c r="H6" s="30"/>
      <x:c r="I6" s="30"/>
      <x:c r="J6" s="30"/>
      <x:c r="K6" s="30"/>
      <x:c r="L6" s="30"/>
      <x:c r="M6" s="30"/>
      <x:c r="N6" s="30"/>
      <x:c r="O6" s="32"/>
      <x:c r="P6" s="34"/>
      <x:c r="Q6" s="14"/>
      <x:c r="R6" s="14"/>
      <x:c r="S6" s="36" t="str">
        <x:f>IF(COUNT(J6:M6)&lt;4,"",SUM(J6:M6))</x:f>
      </x:c>
      <x:c r="T6" s="38" t="str">
        <x:f>IF(OR(S6="",I6="",I6&lt;=0),"",S6/I6)</x:f>
      </x:c>
      <x:c r="U6" s="38" t="str">
        <x:f>IF(OR(L6="",I6="",I6&lt;=0),"",L6/I6)</x:f>
      </x:c>
      <x:c r="V6" s="38" t="str">
        <x:f>IF(OR(M6="",I6="",I6&lt;=0),"",M6/I6)</x:f>
      </x:c>
      <x:c r="W6" s="38" t="str">
        <x:f>IF(OR(N6="",I6="",I6&lt;=0),"",N6/I6)</x:f>
      </x:c>
      <x:c r="X6" s="38" t="str">
        <x:f>IF(OR(O6="",F6="",F6&lt;=0),"",O6/F6)</x:f>
      </x:c>
      <x:c r="Y6" s="40" t="str">
        <x:f>IF(OR(A6="",B6=""),"",B6-A6)</x:f>
      </x:c>
      <x:c r="Z6" s="8" t="str">
        <x:f>IF(COUNTA(A6:R6)=0,"",IF(OR(A6="",B6="",C6="",G6="",H6=""),"INCOMPLETO",IF(B6&lt;A6,"DATA INVÁLIDA",IF(AND(G6="7d",OR(Y6&lt;7,Y6&gt;10)),"FORA DA JANELA",IF(AND(G6="30d",OR(Y6&lt;30,Y6&gt;35)),"FORA DA JANELA",IF(COUNTIFS($C$2:$C$201,C6,$G$2:$G$201,G6)&gt;1,"DUPLICADO","OK"))))))</x:f>
      </x:c>
      <x:c r="AA6" s="44" t="n">
        <x:f>IF(ISNUMBER(H6),1,0)</x:f>
        <x:v>0</x:v>
      </x:c>
      <x:c r="AB6" s="44" t="n">
        <x:f>IF(ISNUMBER(I6),1,0)</x:f>
        <x:v>0</x:v>
      </x:c>
      <x:c r="AC6" s="44" t="n">
        <x:f>IF(ISNUMBER(T6),1,0)</x:f>
        <x:v>0</x:v>
      </x:c>
      <x:c r="AD6" s="44" t="n">
        <x:f>IF(ISNUMBER(U6),1,0)</x:f>
        <x:v>0</x:v>
      </x:c>
      <x:c r="AE6" s="44" t="n">
        <x:f>IF(ISNUMBER(V6),1,0)</x:f>
        <x:v>0</x:v>
      </x:c>
      <x:c r="AF6" s="44" t="n">
        <x:f>IF(ISNUMBER(W6),1,0)</x:f>
        <x:v>0</x:v>
      </x:c>
      <x:c r="AG6" s="44" t="n">
        <x:f>IF(ISNUMBER(X6),1,0)</x:f>
        <x:v>0</x:v>
      </x:c>
      <x:c r="AH6" s="44" t="n">
        <x:f>IF(ISNUMBER(P6),1,0)</x:f>
        <x:v>0</x:v>
      </x:c>
      <x:c r="AI6" s="44" t="n">
        <x:f>IF(ISNUMBER(O6),1,0)</x:f>
        <x:v>0</x:v>
      </x:c>
    </x:row>
    <x:row r="7" ht="22" customHeight="1">
      <x:c r="A7" s="26"/>
      <x:c r="B7" s="26"/>
      <x:c r="C7" s="14"/>
      <x:c r="D7" s="14"/>
      <x:c r="E7" s="14"/>
      <x:c r="F7" s="28"/>
      <x:c r="G7" s="14"/>
      <x:c r="H7" s="30"/>
      <x:c r="I7" s="30"/>
      <x:c r="J7" s="30"/>
      <x:c r="K7" s="30"/>
      <x:c r="L7" s="30"/>
      <x:c r="M7" s="30"/>
      <x:c r="N7" s="30"/>
      <x:c r="O7" s="32"/>
      <x:c r="P7" s="34"/>
      <x:c r="Q7" s="14"/>
      <x:c r="R7" s="14"/>
      <x:c r="S7" s="36" t="str">
        <x:f>IF(COUNT(J7:M7)&lt;4,"",SUM(J7:M7))</x:f>
      </x:c>
      <x:c r="T7" s="38" t="str">
        <x:f>IF(OR(S7="",I7="",I7&lt;=0),"",S7/I7)</x:f>
      </x:c>
      <x:c r="U7" s="38" t="str">
        <x:f>IF(OR(L7="",I7="",I7&lt;=0),"",L7/I7)</x:f>
      </x:c>
      <x:c r="V7" s="38" t="str">
        <x:f>IF(OR(M7="",I7="",I7&lt;=0),"",M7/I7)</x:f>
      </x:c>
      <x:c r="W7" s="38" t="str">
        <x:f>IF(OR(N7="",I7="",I7&lt;=0),"",N7/I7)</x:f>
      </x:c>
      <x:c r="X7" s="38" t="str">
        <x:f>IF(OR(O7="",F7="",F7&lt;=0),"",O7/F7)</x:f>
      </x:c>
      <x:c r="Y7" s="40" t="str">
        <x:f>IF(OR(A7="",B7=""),"",B7-A7)</x:f>
      </x:c>
      <x:c r="Z7" s="8" t="str">
        <x:f>IF(COUNTA(A7:R7)=0,"",IF(OR(A7="",B7="",C7="",G7="",H7=""),"INCOMPLETO",IF(B7&lt;A7,"DATA INVÁLIDA",IF(AND(G7="7d",OR(Y7&lt;7,Y7&gt;10)),"FORA DA JANELA",IF(AND(G7="30d",OR(Y7&lt;30,Y7&gt;35)),"FORA DA JANELA",IF(COUNTIFS($C$2:$C$201,C7,$G$2:$G$201,G7)&gt;1,"DUPLICADO","OK"))))))</x:f>
      </x:c>
      <x:c r="AA7" s="44" t="n">
        <x:f>IF(ISNUMBER(H7),1,0)</x:f>
        <x:v>0</x:v>
      </x:c>
      <x:c r="AB7" s="44" t="n">
        <x:f>IF(ISNUMBER(I7),1,0)</x:f>
        <x:v>0</x:v>
      </x:c>
      <x:c r="AC7" s="44" t="n">
        <x:f>IF(ISNUMBER(T7),1,0)</x:f>
        <x:v>0</x:v>
      </x:c>
      <x:c r="AD7" s="44" t="n">
        <x:f>IF(ISNUMBER(U7),1,0)</x:f>
        <x:v>0</x:v>
      </x:c>
      <x:c r="AE7" s="44" t="n">
        <x:f>IF(ISNUMBER(V7),1,0)</x:f>
        <x:v>0</x:v>
      </x:c>
      <x:c r="AF7" s="44" t="n">
        <x:f>IF(ISNUMBER(W7),1,0)</x:f>
        <x:v>0</x:v>
      </x:c>
      <x:c r="AG7" s="44" t="n">
        <x:f>IF(ISNUMBER(X7),1,0)</x:f>
        <x:v>0</x:v>
      </x:c>
      <x:c r="AH7" s="44" t="n">
        <x:f>IF(ISNUMBER(P7),1,0)</x:f>
        <x:v>0</x:v>
      </x:c>
      <x:c r="AI7" s="44" t="n">
        <x:f>IF(ISNUMBER(O7),1,0)</x:f>
        <x:v>0</x:v>
      </x:c>
    </x:row>
    <x:row r="8" ht="22" customHeight="1">
      <x:c r="A8" s="26"/>
      <x:c r="B8" s="26"/>
      <x:c r="C8" s="14"/>
      <x:c r="D8" s="14"/>
      <x:c r="E8" s="14"/>
      <x:c r="F8" s="28"/>
      <x:c r="G8" s="14"/>
      <x:c r="H8" s="30"/>
      <x:c r="I8" s="30"/>
      <x:c r="J8" s="30"/>
      <x:c r="K8" s="30"/>
      <x:c r="L8" s="30"/>
      <x:c r="M8" s="30"/>
      <x:c r="N8" s="30"/>
      <x:c r="O8" s="32"/>
      <x:c r="P8" s="34"/>
      <x:c r="Q8" s="14"/>
      <x:c r="R8" s="14"/>
      <x:c r="S8" s="36" t="str">
        <x:f>IF(COUNT(J8:M8)&lt;4,"",SUM(J8:M8))</x:f>
      </x:c>
      <x:c r="T8" s="38" t="str">
        <x:f>IF(OR(S8="",I8="",I8&lt;=0),"",S8/I8)</x:f>
      </x:c>
      <x:c r="U8" s="38" t="str">
        <x:f>IF(OR(L8="",I8="",I8&lt;=0),"",L8/I8)</x:f>
      </x:c>
      <x:c r="V8" s="38" t="str">
        <x:f>IF(OR(M8="",I8="",I8&lt;=0),"",M8/I8)</x:f>
      </x:c>
      <x:c r="W8" s="38" t="str">
        <x:f>IF(OR(N8="",I8="",I8&lt;=0),"",N8/I8)</x:f>
      </x:c>
      <x:c r="X8" s="38" t="str">
        <x:f>IF(OR(O8="",F8="",F8&lt;=0),"",O8/F8)</x:f>
      </x:c>
      <x:c r="Y8" s="40" t="str">
        <x:f>IF(OR(A8="",B8=""),"",B8-A8)</x:f>
      </x:c>
      <x:c r="Z8" s="8" t="str">
        <x:f>IF(COUNTA(A8:R8)=0,"",IF(OR(A8="",B8="",C8="",G8="",H8=""),"INCOMPLETO",IF(B8&lt;A8,"DATA INVÁLIDA",IF(AND(G8="7d",OR(Y8&lt;7,Y8&gt;10)),"FORA DA JANELA",IF(AND(G8="30d",OR(Y8&lt;30,Y8&gt;35)),"FORA DA JANELA",IF(COUNTIFS($C$2:$C$201,C8,$G$2:$G$201,G8)&gt;1,"DUPLICADO","OK"))))))</x:f>
      </x:c>
      <x:c r="AA8" s="44" t="n">
        <x:f>IF(ISNUMBER(H8),1,0)</x:f>
        <x:v>0</x:v>
      </x:c>
      <x:c r="AB8" s="44" t="n">
        <x:f>IF(ISNUMBER(I8),1,0)</x:f>
        <x:v>0</x:v>
      </x:c>
      <x:c r="AC8" s="44" t="n">
        <x:f>IF(ISNUMBER(T8),1,0)</x:f>
        <x:v>0</x:v>
      </x:c>
      <x:c r="AD8" s="44" t="n">
        <x:f>IF(ISNUMBER(U8),1,0)</x:f>
        <x:v>0</x:v>
      </x:c>
      <x:c r="AE8" s="44" t="n">
        <x:f>IF(ISNUMBER(V8),1,0)</x:f>
        <x:v>0</x:v>
      </x:c>
      <x:c r="AF8" s="44" t="n">
        <x:f>IF(ISNUMBER(W8),1,0)</x:f>
        <x:v>0</x:v>
      </x:c>
      <x:c r="AG8" s="44" t="n">
        <x:f>IF(ISNUMBER(X8),1,0)</x:f>
        <x:v>0</x:v>
      </x:c>
      <x:c r="AH8" s="44" t="n">
        <x:f>IF(ISNUMBER(P8),1,0)</x:f>
        <x:v>0</x:v>
      </x:c>
      <x:c r="AI8" s="44" t="n">
        <x:f>IF(ISNUMBER(O8),1,0)</x:f>
        <x:v>0</x:v>
      </x:c>
    </x:row>
    <x:row r="9" ht="22" customHeight="1">
      <x:c r="A9" s="26"/>
      <x:c r="B9" s="26"/>
      <x:c r="C9" s="14"/>
      <x:c r="D9" s="14"/>
      <x:c r="E9" s="14"/>
      <x:c r="F9" s="28"/>
      <x:c r="G9" s="14"/>
      <x:c r="H9" s="30"/>
      <x:c r="I9" s="30"/>
      <x:c r="J9" s="30"/>
      <x:c r="K9" s="30"/>
      <x:c r="L9" s="30"/>
      <x:c r="M9" s="30"/>
      <x:c r="N9" s="30"/>
      <x:c r="O9" s="32"/>
      <x:c r="P9" s="34"/>
      <x:c r="Q9" s="14"/>
      <x:c r="R9" s="14"/>
      <x:c r="S9" s="36" t="str">
        <x:f>IF(COUNT(J9:M9)&lt;4,"",SUM(J9:M9))</x:f>
      </x:c>
      <x:c r="T9" s="38" t="str">
        <x:f>IF(OR(S9="",I9="",I9&lt;=0),"",S9/I9)</x:f>
      </x:c>
      <x:c r="U9" s="38" t="str">
        <x:f>IF(OR(L9="",I9="",I9&lt;=0),"",L9/I9)</x:f>
      </x:c>
      <x:c r="V9" s="38" t="str">
        <x:f>IF(OR(M9="",I9="",I9&lt;=0),"",M9/I9)</x:f>
      </x:c>
      <x:c r="W9" s="38" t="str">
        <x:f>IF(OR(N9="",I9="",I9&lt;=0),"",N9/I9)</x:f>
      </x:c>
      <x:c r="X9" s="38" t="str">
        <x:f>IF(OR(O9="",F9="",F9&lt;=0),"",O9/F9)</x:f>
      </x:c>
      <x:c r="Y9" s="40" t="str">
        <x:f>IF(OR(A9="",B9=""),"",B9-A9)</x:f>
      </x:c>
      <x:c r="Z9" s="8" t="str">
        <x:f>IF(COUNTA(A9:R9)=0,"",IF(OR(A9="",B9="",C9="",G9="",H9=""),"INCOMPLETO",IF(B9&lt;A9,"DATA INVÁLIDA",IF(AND(G9="7d",OR(Y9&lt;7,Y9&gt;10)),"FORA DA JANELA",IF(AND(G9="30d",OR(Y9&lt;30,Y9&gt;35)),"FORA DA JANELA",IF(COUNTIFS($C$2:$C$201,C9,$G$2:$G$201,G9)&gt;1,"DUPLICADO","OK"))))))</x:f>
      </x:c>
      <x:c r="AA9" s="44" t="n">
        <x:f>IF(ISNUMBER(H9),1,0)</x:f>
        <x:v>0</x:v>
      </x:c>
      <x:c r="AB9" s="44" t="n">
        <x:f>IF(ISNUMBER(I9),1,0)</x:f>
        <x:v>0</x:v>
      </x:c>
      <x:c r="AC9" s="44" t="n">
        <x:f>IF(ISNUMBER(T9),1,0)</x:f>
        <x:v>0</x:v>
      </x:c>
      <x:c r="AD9" s="44" t="n">
        <x:f>IF(ISNUMBER(U9),1,0)</x:f>
        <x:v>0</x:v>
      </x:c>
      <x:c r="AE9" s="44" t="n">
        <x:f>IF(ISNUMBER(V9),1,0)</x:f>
        <x:v>0</x:v>
      </x:c>
      <x:c r="AF9" s="44" t="n">
        <x:f>IF(ISNUMBER(W9),1,0)</x:f>
        <x:v>0</x:v>
      </x:c>
      <x:c r="AG9" s="44" t="n">
        <x:f>IF(ISNUMBER(X9),1,0)</x:f>
        <x:v>0</x:v>
      </x:c>
      <x:c r="AH9" s="44" t="n">
        <x:f>IF(ISNUMBER(P9),1,0)</x:f>
        <x:v>0</x:v>
      </x:c>
      <x:c r="AI9" s="44" t="n">
        <x:f>IF(ISNUMBER(O9),1,0)</x:f>
        <x:v>0</x:v>
      </x:c>
    </x:row>
    <x:row r="10" ht="22" customHeight="1">
      <x:c r="A10" s="26"/>
      <x:c r="B10" s="26"/>
      <x:c r="C10" s="14"/>
      <x:c r="D10" s="14"/>
      <x:c r="E10" s="14"/>
      <x:c r="F10" s="28"/>
      <x:c r="G10" s="14"/>
      <x:c r="H10" s="30"/>
      <x:c r="I10" s="30"/>
      <x:c r="J10" s="30"/>
      <x:c r="K10" s="30"/>
      <x:c r="L10" s="30"/>
      <x:c r="M10" s="30"/>
      <x:c r="N10" s="30"/>
      <x:c r="O10" s="32"/>
      <x:c r="P10" s="34"/>
      <x:c r="Q10" s="14"/>
      <x:c r="R10" s="14"/>
      <x:c r="S10" s="36" t="str">
        <x:f>IF(COUNT(J10:M10)&lt;4,"",SUM(J10:M10))</x:f>
      </x:c>
      <x:c r="T10" s="38" t="str">
        <x:f>IF(OR(S10="",I10="",I10&lt;=0),"",S10/I10)</x:f>
      </x:c>
      <x:c r="U10" s="38" t="str">
        <x:f>IF(OR(L10="",I10="",I10&lt;=0),"",L10/I10)</x:f>
      </x:c>
      <x:c r="V10" s="38" t="str">
        <x:f>IF(OR(M10="",I10="",I10&lt;=0),"",M10/I10)</x:f>
      </x:c>
      <x:c r="W10" s="38" t="str">
        <x:f>IF(OR(N10="",I10="",I10&lt;=0),"",N10/I10)</x:f>
      </x:c>
      <x:c r="X10" s="38" t="str">
        <x:f>IF(OR(O10="",F10="",F10&lt;=0),"",O10/F10)</x:f>
      </x:c>
      <x:c r="Y10" s="40" t="str">
        <x:f>IF(OR(A10="",B10=""),"",B10-A10)</x:f>
      </x:c>
      <x:c r="Z10" s="8" t="str">
        <x:f>IF(COUNTA(A10:R10)=0,"",IF(OR(A10="",B10="",C10="",G10="",H10=""),"INCOMPLETO",IF(B10&lt;A10,"DATA INVÁLIDA",IF(AND(G10="7d",OR(Y10&lt;7,Y10&gt;10)),"FORA DA JANELA",IF(AND(G10="30d",OR(Y10&lt;30,Y10&gt;35)),"FORA DA JANELA",IF(COUNTIFS($C$2:$C$201,C10,$G$2:$G$201,G10)&gt;1,"DUPLICADO","OK"))))))</x:f>
      </x:c>
      <x:c r="AA10" s="44" t="n">
        <x:f>IF(ISNUMBER(H10),1,0)</x:f>
        <x:v>0</x:v>
      </x:c>
      <x:c r="AB10" s="44" t="n">
        <x:f>IF(ISNUMBER(I10),1,0)</x:f>
        <x:v>0</x:v>
      </x:c>
      <x:c r="AC10" s="44" t="n">
        <x:f>IF(ISNUMBER(T10),1,0)</x:f>
        <x:v>0</x:v>
      </x:c>
      <x:c r="AD10" s="44" t="n">
        <x:f>IF(ISNUMBER(U10),1,0)</x:f>
        <x:v>0</x:v>
      </x:c>
      <x:c r="AE10" s="44" t="n">
        <x:f>IF(ISNUMBER(V10),1,0)</x:f>
        <x:v>0</x:v>
      </x:c>
      <x:c r="AF10" s="44" t="n">
        <x:f>IF(ISNUMBER(W10),1,0)</x:f>
        <x:v>0</x:v>
      </x:c>
      <x:c r="AG10" s="44" t="n">
        <x:f>IF(ISNUMBER(X10),1,0)</x:f>
        <x:v>0</x:v>
      </x:c>
      <x:c r="AH10" s="44" t="n">
        <x:f>IF(ISNUMBER(P10),1,0)</x:f>
        <x:v>0</x:v>
      </x:c>
      <x:c r="AI10" s="44" t="n">
        <x:f>IF(ISNUMBER(O10),1,0)</x:f>
        <x:v>0</x:v>
      </x:c>
    </x:row>
    <x:row r="11" ht="22" customHeight="1">
      <x:c r="A11" s="26"/>
      <x:c r="B11" s="26"/>
      <x:c r="C11" s="14"/>
      <x:c r="D11" s="14"/>
      <x:c r="E11" s="14"/>
      <x:c r="F11" s="28"/>
      <x:c r="G11" s="14"/>
      <x:c r="H11" s="30"/>
      <x:c r="I11" s="30"/>
      <x:c r="J11" s="30"/>
      <x:c r="K11" s="30"/>
      <x:c r="L11" s="30"/>
      <x:c r="M11" s="30"/>
      <x:c r="N11" s="30"/>
      <x:c r="O11" s="32"/>
      <x:c r="P11" s="34"/>
      <x:c r="Q11" s="14"/>
      <x:c r="R11" s="14"/>
      <x:c r="S11" s="36" t="str">
        <x:f>IF(COUNT(J11:M11)&lt;4,"",SUM(J11:M11))</x:f>
      </x:c>
      <x:c r="T11" s="38" t="str">
        <x:f>IF(OR(S11="",I11="",I11&lt;=0),"",S11/I11)</x:f>
      </x:c>
      <x:c r="U11" s="38" t="str">
        <x:f>IF(OR(L11="",I11="",I11&lt;=0),"",L11/I11)</x:f>
      </x:c>
      <x:c r="V11" s="38" t="str">
        <x:f>IF(OR(M11="",I11="",I11&lt;=0),"",M11/I11)</x:f>
      </x:c>
      <x:c r="W11" s="38" t="str">
        <x:f>IF(OR(N11="",I11="",I11&lt;=0),"",N11/I11)</x:f>
      </x:c>
      <x:c r="X11" s="38" t="str">
        <x:f>IF(OR(O11="",F11="",F11&lt;=0),"",O11/F11)</x:f>
      </x:c>
      <x:c r="Y11" s="40" t="str">
        <x:f>IF(OR(A11="",B11=""),"",B11-A11)</x:f>
      </x:c>
      <x:c r="Z11" s="8" t="str">
        <x:f>IF(COUNTA(A11:R11)=0,"",IF(OR(A11="",B11="",C11="",G11="",H11=""),"INCOMPLETO",IF(B11&lt;A11,"DATA INVÁLIDA",IF(AND(G11="7d",OR(Y11&lt;7,Y11&gt;10)),"FORA DA JANELA",IF(AND(G11="30d",OR(Y11&lt;30,Y11&gt;35)),"FORA DA JANELA",IF(COUNTIFS($C$2:$C$201,C11,$G$2:$G$201,G11)&gt;1,"DUPLICADO","OK"))))))</x:f>
      </x:c>
      <x:c r="AA11" s="44" t="n">
        <x:f>IF(ISNUMBER(H11),1,0)</x:f>
        <x:v>0</x:v>
      </x:c>
      <x:c r="AB11" s="44" t="n">
        <x:f>IF(ISNUMBER(I11),1,0)</x:f>
        <x:v>0</x:v>
      </x:c>
      <x:c r="AC11" s="44" t="n">
        <x:f>IF(ISNUMBER(T11),1,0)</x:f>
        <x:v>0</x:v>
      </x:c>
      <x:c r="AD11" s="44" t="n">
        <x:f>IF(ISNUMBER(U11),1,0)</x:f>
        <x:v>0</x:v>
      </x:c>
      <x:c r="AE11" s="44" t="n">
        <x:f>IF(ISNUMBER(V11),1,0)</x:f>
        <x:v>0</x:v>
      </x:c>
      <x:c r="AF11" s="44" t="n">
        <x:f>IF(ISNUMBER(W11),1,0)</x:f>
        <x:v>0</x:v>
      </x:c>
      <x:c r="AG11" s="44" t="n">
        <x:f>IF(ISNUMBER(X11),1,0)</x:f>
        <x:v>0</x:v>
      </x:c>
      <x:c r="AH11" s="44" t="n">
        <x:f>IF(ISNUMBER(P11),1,0)</x:f>
        <x:v>0</x:v>
      </x:c>
      <x:c r="AI11" s="44" t="n">
        <x:f>IF(ISNUMBER(O11),1,0)</x:f>
        <x:v>0</x:v>
      </x:c>
    </x:row>
    <x:row r="12" ht="22" customHeight="1">
      <x:c r="A12" s="26"/>
      <x:c r="B12" s="26"/>
      <x:c r="C12" s="14"/>
      <x:c r="D12" s="14"/>
      <x:c r="E12" s="14"/>
      <x:c r="F12" s="28"/>
      <x:c r="G12" s="14"/>
      <x:c r="H12" s="30"/>
      <x:c r="I12" s="30"/>
      <x:c r="J12" s="30"/>
      <x:c r="K12" s="30"/>
      <x:c r="L12" s="30"/>
      <x:c r="M12" s="30"/>
      <x:c r="N12" s="30"/>
      <x:c r="O12" s="32"/>
      <x:c r="P12" s="34"/>
      <x:c r="Q12" s="14"/>
      <x:c r="R12" s="14"/>
      <x:c r="S12" s="36" t="str">
        <x:f>IF(COUNT(J12:M12)&lt;4,"",SUM(J12:M12))</x:f>
      </x:c>
      <x:c r="T12" s="38" t="str">
        <x:f>IF(OR(S12="",I12="",I12&lt;=0),"",S12/I12)</x:f>
      </x:c>
      <x:c r="U12" s="38" t="str">
        <x:f>IF(OR(L12="",I12="",I12&lt;=0),"",L12/I12)</x:f>
      </x:c>
      <x:c r="V12" s="38" t="str">
        <x:f>IF(OR(M12="",I12="",I12&lt;=0),"",M12/I12)</x:f>
      </x:c>
      <x:c r="W12" s="38" t="str">
        <x:f>IF(OR(N12="",I12="",I12&lt;=0),"",N12/I12)</x:f>
      </x:c>
      <x:c r="X12" s="38" t="str">
        <x:f>IF(OR(O12="",F12="",F12&lt;=0),"",O12/F12)</x:f>
      </x:c>
      <x:c r="Y12" s="40" t="str">
        <x:f>IF(OR(A12="",B12=""),"",B12-A12)</x:f>
      </x:c>
      <x:c r="Z12" s="8" t="str">
        <x:f>IF(COUNTA(A12:R12)=0,"",IF(OR(A12="",B12="",C12="",G12="",H12=""),"INCOMPLETO",IF(B12&lt;A12,"DATA INVÁLIDA",IF(AND(G12="7d",OR(Y12&lt;7,Y12&gt;10)),"FORA DA JANELA",IF(AND(G12="30d",OR(Y12&lt;30,Y12&gt;35)),"FORA DA JANELA",IF(COUNTIFS($C$2:$C$201,C12,$G$2:$G$201,G12)&gt;1,"DUPLICADO","OK"))))))</x:f>
      </x:c>
      <x:c r="AA12" s="44" t="n">
        <x:f>IF(ISNUMBER(H12),1,0)</x:f>
        <x:v>0</x:v>
      </x:c>
      <x:c r="AB12" s="44" t="n">
        <x:f>IF(ISNUMBER(I12),1,0)</x:f>
        <x:v>0</x:v>
      </x:c>
      <x:c r="AC12" s="44" t="n">
        <x:f>IF(ISNUMBER(T12),1,0)</x:f>
        <x:v>0</x:v>
      </x:c>
      <x:c r="AD12" s="44" t="n">
        <x:f>IF(ISNUMBER(U12),1,0)</x:f>
        <x:v>0</x:v>
      </x:c>
      <x:c r="AE12" s="44" t="n">
        <x:f>IF(ISNUMBER(V12),1,0)</x:f>
        <x:v>0</x:v>
      </x:c>
      <x:c r="AF12" s="44" t="n">
        <x:f>IF(ISNUMBER(W12),1,0)</x:f>
        <x:v>0</x:v>
      </x:c>
      <x:c r="AG12" s="44" t="n">
        <x:f>IF(ISNUMBER(X12),1,0)</x:f>
        <x:v>0</x:v>
      </x:c>
      <x:c r="AH12" s="44" t="n">
        <x:f>IF(ISNUMBER(P12),1,0)</x:f>
        <x:v>0</x:v>
      </x:c>
      <x:c r="AI12" s="44" t="n">
        <x:f>IF(ISNUMBER(O12),1,0)</x:f>
        <x:v>0</x:v>
      </x:c>
    </x:row>
    <x:row r="13" ht="22" customHeight="1">
      <x:c r="A13" s="26"/>
      <x:c r="B13" s="26"/>
      <x:c r="C13" s="14"/>
      <x:c r="D13" s="14"/>
      <x:c r="E13" s="14"/>
      <x:c r="F13" s="28"/>
      <x:c r="G13" s="14"/>
      <x:c r="H13" s="30"/>
      <x:c r="I13" s="30"/>
      <x:c r="J13" s="30"/>
      <x:c r="K13" s="30"/>
      <x:c r="L13" s="30"/>
      <x:c r="M13" s="30"/>
      <x:c r="N13" s="30"/>
      <x:c r="O13" s="32"/>
      <x:c r="P13" s="34"/>
      <x:c r="Q13" s="14"/>
      <x:c r="R13" s="14"/>
      <x:c r="S13" s="36" t="str">
        <x:f>IF(COUNT(J13:M13)&lt;4,"",SUM(J13:M13))</x:f>
      </x:c>
      <x:c r="T13" s="38" t="str">
        <x:f>IF(OR(S13="",I13="",I13&lt;=0),"",S13/I13)</x:f>
      </x:c>
      <x:c r="U13" s="38" t="str">
        <x:f>IF(OR(L13="",I13="",I13&lt;=0),"",L13/I13)</x:f>
      </x:c>
      <x:c r="V13" s="38" t="str">
        <x:f>IF(OR(M13="",I13="",I13&lt;=0),"",M13/I13)</x:f>
      </x:c>
      <x:c r="W13" s="38" t="str">
        <x:f>IF(OR(N13="",I13="",I13&lt;=0),"",N13/I13)</x:f>
      </x:c>
      <x:c r="X13" s="38" t="str">
        <x:f>IF(OR(O13="",F13="",F13&lt;=0),"",O13/F13)</x:f>
      </x:c>
      <x:c r="Y13" s="40" t="str">
        <x:f>IF(OR(A13="",B13=""),"",B13-A13)</x:f>
      </x:c>
      <x:c r="Z13" s="8" t="str">
        <x:f>IF(COUNTA(A13:R13)=0,"",IF(OR(A13="",B13="",C13="",G13="",H13=""),"INCOMPLETO",IF(B13&lt;A13,"DATA INVÁLIDA",IF(AND(G13="7d",OR(Y13&lt;7,Y13&gt;10)),"FORA DA JANELA",IF(AND(G13="30d",OR(Y13&lt;30,Y13&gt;35)),"FORA DA JANELA",IF(COUNTIFS($C$2:$C$201,C13,$G$2:$G$201,G13)&gt;1,"DUPLICADO","OK"))))))</x:f>
      </x:c>
      <x:c r="AA13" s="44" t="n">
        <x:f>IF(ISNUMBER(H13),1,0)</x:f>
        <x:v>0</x:v>
      </x:c>
      <x:c r="AB13" s="44" t="n">
        <x:f>IF(ISNUMBER(I13),1,0)</x:f>
        <x:v>0</x:v>
      </x:c>
      <x:c r="AC13" s="44" t="n">
        <x:f>IF(ISNUMBER(T13),1,0)</x:f>
        <x:v>0</x:v>
      </x:c>
      <x:c r="AD13" s="44" t="n">
        <x:f>IF(ISNUMBER(U13),1,0)</x:f>
        <x:v>0</x:v>
      </x:c>
      <x:c r="AE13" s="44" t="n">
        <x:f>IF(ISNUMBER(V13),1,0)</x:f>
        <x:v>0</x:v>
      </x:c>
      <x:c r="AF13" s="44" t="n">
        <x:f>IF(ISNUMBER(W13),1,0)</x:f>
        <x:v>0</x:v>
      </x:c>
      <x:c r="AG13" s="44" t="n">
        <x:f>IF(ISNUMBER(X13),1,0)</x:f>
        <x:v>0</x:v>
      </x:c>
      <x:c r="AH13" s="44" t="n">
        <x:f>IF(ISNUMBER(P13),1,0)</x:f>
        <x:v>0</x:v>
      </x:c>
      <x:c r="AI13" s="44" t="n">
        <x:f>IF(ISNUMBER(O13),1,0)</x:f>
        <x:v>0</x:v>
      </x:c>
    </x:row>
    <x:row r="14" ht="22" customHeight="1">
      <x:c r="A14" s="26"/>
      <x:c r="B14" s="26"/>
      <x:c r="C14" s="14"/>
      <x:c r="D14" s="14"/>
      <x:c r="E14" s="14"/>
      <x:c r="F14" s="28"/>
      <x:c r="G14" s="14"/>
      <x:c r="H14" s="30"/>
      <x:c r="I14" s="30"/>
      <x:c r="J14" s="30"/>
      <x:c r="K14" s="30"/>
      <x:c r="L14" s="30"/>
      <x:c r="M14" s="30"/>
      <x:c r="N14" s="30"/>
      <x:c r="O14" s="32"/>
      <x:c r="P14" s="34"/>
      <x:c r="Q14" s="14"/>
      <x:c r="R14" s="14"/>
      <x:c r="S14" s="36" t="str">
        <x:f>IF(COUNT(J14:M14)&lt;4,"",SUM(J14:M14))</x:f>
      </x:c>
      <x:c r="T14" s="38" t="str">
        <x:f>IF(OR(S14="",I14="",I14&lt;=0),"",S14/I14)</x:f>
      </x:c>
      <x:c r="U14" s="38" t="str">
        <x:f>IF(OR(L14="",I14="",I14&lt;=0),"",L14/I14)</x:f>
      </x:c>
      <x:c r="V14" s="38" t="str">
        <x:f>IF(OR(M14="",I14="",I14&lt;=0),"",M14/I14)</x:f>
      </x:c>
      <x:c r="W14" s="38" t="str">
        <x:f>IF(OR(N14="",I14="",I14&lt;=0),"",N14/I14)</x:f>
      </x:c>
      <x:c r="X14" s="38" t="str">
        <x:f>IF(OR(O14="",F14="",F14&lt;=0),"",O14/F14)</x:f>
      </x:c>
      <x:c r="Y14" s="40" t="str">
        <x:f>IF(OR(A14="",B14=""),"",B14-A14)</x:f>
      </x:c>
      <x:c r="Z14" s="8" t="str">
        <x:f>IF(COUNTA(A14:R14)=0,"",IF(OR(A14="",B14="",C14="",G14="",H14=""),"INCOMPLETO",IF(B14&lt;A14,"DATA INVÁLIDA",IF(AND(G14="7d",OR(Y14&lt;7,Y14&gt;10)),"FORA DA JANELA",IF(AND(G14="30d",OR(Y14&lt;30,Y14&gt;35)),"FORA DA JANELA",IF(COUNTIFS($C$2:$C$201,C14,$G$2:$G$201,G14)&gt;1,"DUPLICADO","OK"))))))</x:f>
      </x:c>
      <x:c r="AA14" s="44" t="n">
        <x:f>IF(ISNUMBER(H14),1,0)</x:f>
        <x:v>0</x:v>
      </x:c>
      <x:c r="AB14" s="44" t="n">
        <x:f>IF(ISNUMBER(I14),1,0)</x:f>
        <x:v>0</x:v>
      </x:c>
      <x:c r="AC14" s="44" t="n">
        <x:f>IF(ISNUMBER(T14),1,0)</x:f>
        <x:v>0</x:v>
      </x:c>
      <x:c r="AD14" s="44" t="n">
        <x:f>IF(ISNUMBER(U14),1,0)</x:f>
        <x:v>0</x:v>
      </x:c>
      <x:c r="AE14" s="44" t="n">
        <x:f>IF(ISNUMBER(V14),1,0)</x:f>
        <x:v>0</x:v>
      </x:c>
      <x:c r="AF14" s="44" t="n">
        <x:f>IF(ISNUMBER(W14),1,0)</x:f>
        <x:v>0</x:v>
      </x:c>
      <x:c r="AG14" s="44" t="n">
        <x:f>IF(ISNUMBER(X14),1,0)</x:f>
        <x:v>0</x:v>
      </x:c>
      <x:c r="AH14" s="44" t="n">
        <x:f>IF(ISNUMBER(P14),1,0)</x:f>
        <x:v>0</x:v>
      </x:c>
      <x:c r="AI14" s="44" t="n">
        <x:f>IF(ISNUMBER(O14),1,0)</x:f>
        <x:v>0</x:v>
      </x:c>
    </x:row>
    <x:row r="15" ht="22" customHeight="1">
      <x:c r="A15" s="26"/>
      <x:c r="B15" s="26"/>
      <x:c r="C15" s="14"/>
      <x:c r="D15" s="14"/>
      <x:c r="E15" s="14"/>
      <x:c r="F15" s="28"/>
      <x:c r="G15" s="14"/>
      <x:c r="H15" s="30"/>
      <x:c r="I15" s="30"/>
      <x:c r="J15" s="30"/>
      <x:c r="K15" s="30"/>
      <x:c r="L15" s="30"/>
      <x:c r="M15" s="30"/>
      <x:c r="N15" s="30"/>
      <x:c r="O15" s="32"/>
      <x:c r="P15" s="34"/>
      <x:c r="Q15" s="14"/>
      <x:c r="R15" s="14"/>
      <x:c r="S15" s="36" t="str">
        <x:f>IF(COUNT(J15:M15)&lt;4,"",SUM(J15:M15))</x:f>
      </x:c>
      <x:c r="T15" s="38" t="str">
        <x:f>IF(OR(S15="",I15="",I15&lt;=0),"",S15/I15)</x:f>
      </x:c>
      <x:c r="U15" s="38" t="str">
        <x:f>IF(OR(L15="",I15="",I15&lt;=0),"",L15/I15)</x:f>
      </x:c>
      <x:c r="V15" s="38" t="str">
        <x:f>IF(OR(M15="",I15="",I15&lt;=0),"",M15/I15)</x:f>
      </x:c>
      <x:c r="W15" s="38" t="str">
        <x:f>IF(OR(N15="",I15="",I15&lt;=0),"",N15/I15)</x:f>
      </x:c>
      <x:c r="X15" s="38" t="str">
        <x:f>IF(OR(O15="",F15="",F15&lt;=0),"",O15/F15)</x:f>
      </x:c>
      <x:c r="Y15" s="40" t="str">
        <x:f>IF(OR(A15="",B15=""),"",B15-A15)</x:f>
      </x:c>
      <x:c r="Z15" s="8" t="str">
        <x:f>IF(COUNTA(A15:R15)=0,"",IF(OR(A15="",B15="",C15="",G15="",H15=""),"INCOMPLETO",IF(B15&lt;A15,"DATA INVÁLIDA",IF(AND(G15="7d",OR(Y15&lt;7,Y15&gt;10)),"FORA DA JANELA",IF(AND(G15="30d",OR(Y15&lt;30,Y15&gt;35)),"FORA DA JANELA",IF(COUNTIFS($C$2:$C$201,C15,$G$2:$G$201,G15)&gt;1,"DUPLICADO","OK"))))))</x:f>
      </x:c>
      <x:c r="AA15" s="44" t="n">
        <x:f>IF(ISNUMBER(H15),1,0)</x:f>
        <x:v>0</x:v>
      </x:c>
      <x:c r="AB15" s="44" t="n">
        <x:f>IF(ISNUMBER(I15),1,0)</x:f>
        <x:v>0</x:v>
      </x:c>
      <x:c r="AC15" s="44" t="n">
        <x:f>IF(ISNUMBER(T15),1,0)</x:f>
        <x:v>0</x:v>
      </x:c>
      <x:c r="AD15" s="44" t="n">
        <x:f>IF(ISNUMBER(U15),1,0)</x:f>
        <x:v>0</x:v>
      </x:c>
      <x:c r="AE15" s="44" t="n">
        <x:f>IF(ISNUMBER(V15),1,0)</x:f>
        <x:v>0</x:v>
      </x:c>
      <x:c r="AF15" s="44" t="n">
        <x:f>IF(ISNUMBER(W15),1,0)</x:f>
        <x:v>0</x:v>
      </x:c>
      <x:c r="AG15" s="44" t="n">
        <x:f>IF(ISNUMBER(X15),1,0)</x:f>
        <x:v>0</x:v>
      </x:c>
      <x:c r="AH15" s="44" t="n">
        <x:f>IF(ISNUMBER(P15),1,0)</x:f>
        <x:v>0</x:v>
      </x:c>
      <x:c r="AI15" s="44" t="n">
        <x:f>IF(ISNUMBER(O15),1,0)</x:f>
        <x:v>0</x:v>
      </x:c>
    </x:row>
    <x:row r="16" ht="22" customHeight="1">
      <x:c r="A16" s="26"/>
      <x:c r="B16" s="26"/>
      <x:c r="C16" s="14"/>
      <x:c r="D16" s="14"/>
      <x:c r="E16" s="14"/>
      <x:c r="F16" s="28"/>
      <x:c r="G16" s="14"/>
      <x:c r="H16" s="30"/>
      <x:c r="I16" s="30"/>
      <x:c r="J16" s="30"/>
      <x:c r="K16" s="30"/>
      <x:c r="L16" s="30"/>
      <x:c r="M16" s="30"/>
      <x:c r="N16" s="30"/>
      <x:c r="O16" s="32"/>
      <x:c r="P16" s="34"/>
      <x:c r="Q16" s="14"/>
      <x:c r="R16" s="14"/>
      <x:c r="S16" s="36" t="str">
        <x:f>IF(COUNT(J16:M16)&lt;4,"",SUM(J16:M16))</x:f>
      </x:c>
      <x:c r="T16" s="38" t="str">
        <x:f>IF(OR(S16="",I16="",I16&lt;=0),"",S16/I16)</x:f>
      </x:c>
      <x:c r="U16" s="38" t="str">
        <x:f>IF(OR(L16="",I16="",I16&lt;=0),"",L16/I16)</x:f>
      </x:c>
      <x:c r="V16" s="38" t="str">
        <x:f>IF(OR(M16="",I16="",I16&lt;=0),"",M16/I16)</x:f>
      </x:c>
      <x:c r="W16" s="38" t="str">
        <x:f>IF(OR(N16="",I16="",I16&lt;=0),"",N16/I16)</x:f>
      </x:c>
      <x:c r="X16" s="38" t="str">
        <x:f>IF(OR(O16="",F16="",F16&lt;=0),"",O16/F16)</x:f>
      </x:c>
      <x:c r="Y16" s="40" t="str">
        <x:f>IF(OR(A16="",B16=""),"",B16-A16)</x:f>
      </x:c>
      <x:c r="Z16" s="8" t="str">
        <x:f>IF(COUNTA(A16:R16)=0,"",IF(OR(A16="",B16="",C16="",G16="",H16=""),"INCOMPLETO",IF(B16&lt;A16,"DATA INVÁLIDA",IF(AND(G16="7d",OR(Y16&lt;7,Y16&gt;10)),"FORA DA JANELA",IF(AND(G16="30d",OR(Y16&lt;30,Y16&gt;35)),"FORA DA JANELA",IF(COUNTIFS($C$2:$C$201,C16,$G$2:$G$201,G16)&gt;1,"DUPLICADO","OK"))))))</x:f>
      </x:c>
      <x:c r="AA16" s="44" t="n">
        <x:f>IF(ISNUMBER(H16),1,0)</x:f>
        <x:v>0</x:v>
      </x:c>
      <x:c r="AB16" s="44" t="n">
        <x:f>IF(ISNUMBER(I16),1,0)</x:f>
        <x:v>0</x:v>
      </x:c>
      <x:c r="AC16" s="44" t="n">
        <x:f>IF(ISNUMBER(T16),1,0)</x:f>
        <x:v>0</x:v>
      </x:c>
      <x:c r="AD16" s="44" t="n">
        <x:f>IF(ISNUMBER(U16),1,0)</x:f>
        <x:v>0</x:v>
      </x:c>
      <x:c r="AE16" s="44" t="n">
        <x:f>IF(ISNUMBER(V16),1,0)</x:f>
        <x:v>0</x:v>
      </x:c>
      <x:c r="AF16" s="44" t="n">
        <x:f>IF(ISNUMBER(W16),1,0)</x:f>
        <x:v>0</x:v>
      </x:c>
      <x:c r="AG16" s="44" t="n">
        <x:f>IF(ISNUMBER(X16),1,0)</x:f>
        <x:v>0</x:v>
      </x:c>
      <x:c r="AH16" s="44" t="n">
        <x:f>IF(ISNUMBER(P16),1,0)</x:f>
        <x:v>0</x:v>
      </x:c>
      <x:c r="AI16" s="44" t="n">
        <x:f>IF(ISNUMBER(O16),1,0)</x:f>
        <x:v>0</x:v>
      </x:c>
    </x:row>
    <x:row r="17" ht="22" customHeight="1">
      <x:c r="A17" s="26"/>
      <x:c r="B17" s="26"/>
      <x:c r="C17" s="14"/>
      <x:c r="D17" s="14"/>
      <x:c r="E17" s="14"/>
      <x:c r="F17" s="28"/>
      <x:c r="G17" s="14"/>
      <x:c r="H17" s="30"/>
      <x:c r="I17" s="30"/>
      <x:c r="J17" s="30"/>
      <x:c r="K17" s="30"/>
      <x:c r="L17" s="30"/>
      <x:c r="M17" s="30"/>
      <x:c r="N17" s="30"/>
      <x:c r="O17" s="32"/>
      <x:c r="P17" s="34"/>
      <x:c r="Q17" s="14"/>
      <x:c r="R17" s="14"/>
      <x:c r="S17" s="36" t="str">
        <x:f>IF(COUNT(J17:M17)&lt;4,"",SUM(J17:M17))</x:f>
      </x:c>
      <x:c r="T17" s="38" t="str">
        <x:f>IF(OR(S17="",I17="",I17&lt;=0),"",S17/I17)</x:f>
      </x:c>
      <x:c r="U17" s="38" t="str">
        <x:f>IF(OR(L17="",I17="",I17&lt;=0),"",L17/I17)</x:f>
      </x:c>
      <x:c r="V17" s="38" t="str">
        <x:f>IF(OR(M17="",I17="",I17&lt;=0),"",M17/I17)</x:f>
      </x:c>
      <x:c r="W17" s="38" t="str">
        <x:f>IF(OR(N17="",I17="",I17&lt;=0),"",N17/I17)</x:f>
      </x:c>
      <x:c r="X17" s="38" t="str">
        <x:f>IF(OR(O17="",F17="",F17&lt;=0),"",O17/F17)</x:f>
      </x:c>
      <x:c r="Y17" s="40" t="str">
        <x:f>IF(OR(A17="",B17=""),"",B17-A17)</x:f>
      </x:c>
      <x:c r="Z17" s="8" t="str">
        <x:f>IF(COUNTA(A17:R17)=0,"",IF(OR(A17="",B17="",C17="",G17="",H17=""),"INCOMPLETO",IF(B17&lt;A17,"DATA INVÁLIDA",IF(AND(G17="7d",OR(Y17&lt;7,Y17&gt;10)),"FORA DA JANELA",IF(AND(G17="30d",OR(Y17&lt;30,Y17&gt;35)),"FORA DA JANELA",IF(COUNTIFS($C$2:$C$201,C17,$G$2:$G$201,G17)&gt;1,"DUPLICADO","OK"))))))</x:f>
      </x:c>
      <x:c r="AA17" s="44" t="n">
        <x:f>IF(ISNUMBER(H17),1,0)</x:f>
        <x:v>0</x:v>
      </x:c>
      <x:c r="AB17" s="44" t="n">
        <x:f>IF(ISNUMBER(I17),1,0)</x:f>
        <x:v>0</x:v>
      </x:c>
      <x:c r="AC17" s="44" t="n">
        <x:f>IF(ISNUMBER(T17),1,0)</x:f>
        <x:v>0</x:v>
      </x:c>
      <x:c r="AD17" s="44" t="n">
        <x:f>IF(ISNUMBER(U17),1,0)</x:f>
        <x:v>0</x:v>
      </x:c>
      <x:c r="AE17" s="44" t="n">
        <x:f>IF(ISNUMBER(V17),1,0)</x:f>
        <x:v>0</x:v>
      </x:c>
      <x:c r="AF17" s="44" t="n">
        <x:f>IF(ISNUMBER(W17),1,0)</x:f>
        <x:v>0</x:v>
      </x:c>
      <x:c r="AG17" s="44" t="n">
        <x:f>IF(ISNUMBER(X17),1,0)</x:f>
        <x:v>0</x:v>
      </x:c>
      <x:c r="AH17" s="44" t="n">
        <x:f>IF(ISNUMBER(P17),1,0)</x:f>
        <x:v>0</x:v>
      </x:c>
      <x:c r="AI17" s="44" t="n">
        <x:f>IF(ISNUMBER(O17),1,0)</x:f>
        <x:v>0</x:v>
      </x:c>
    </x:row>
    <x:row r="18" ht="22" customHeight="1">
      <x:c r="A18" s="26"/>
      <x:c r="B18" s="26"/>
      <x:c r="C18" s="14"/>
      <x:c r="D18" s="14"/>
      <x:c r="E18" s="14"/>
      <x:c r="F18" s="28"/>
      <x:c r="G18" s="14"/>
      <x:c r="H18" s="30"/>
      <x:c r="I18" s="30"/>
      <x:c r="J18" s="30"/>
      <x:c r="K18" s="30"/>
      <x:c r="L18" s="30"/>
      <x:c r="M18" s="30"/>
      <x:c r="N18" s="30"/>
      <x:c r="O18" s="32"/>
      <x:c r="P18" s="34"/>
      <x:c r="Q18" s="14"/>
      <x:c r="R18" s="14"/>
      <x:c r="S18" s="36" t="str">
        <x:f>IF(COUNT(J18:M18)&lt;4,"",SUM(J18:M18))</x:f>
      </x:c>
      <x:c r="T18" s="38" t="str">
        <x:f>IF(OR(S18="",I18="",I18&lt;=0),"",S18/I18)</x:f>
      </x:c>
      <x:c r="U18" s="38" t="str">
        <x:f>IF(OR(L18="",I18="",I18&lt;=0),"",L18/I18)</x:f>
      </x:c>
      <x:c r="V18" s="38" t="str">
        <x:f>IF(OR(M18="",I18="",I18&lt;=0),"",M18/I18)</x:f>
      </x:c>
      <x:c r="W18" s="38" t="str">
        <x:f>IF(OR(N18="",I18="",I18&lt;=0),"",N18/I18)</x:f>
      </x:c>
      <x:c r="X18" s="38" t="str">
        <x:f>IF(OR(O18="",F18="",F18&lt;=0),"",O18/F18)</x:f>
      </x:c>
      <x:c r="Y18" s="40" t="str">
        <x:f>IF(OR(A18="",B18=""),"",B18-A18)</x:f>
      </x:c>
      <x:c r="Z18" s="8" t="str">
        <x:f>IF(COUNTA(A18:R18)=0,"",IF(OR(A18="",B18="",C18="",G18="",H18=""),"INCOMPLETO",IF(B18&lt;A18,"DATA INVÁLIDA",IF(AND(G18="7d",OR(Y18&lt;7,Y18&gt;10)),"FORA DA JANELA",IF(AND(G18="30d",OR(Y18&lt;30,Y18&gt;35)),"FORA DA JANELA",IF(COUNTIFS($C$2:$C$201,C18,$G$2:$G$201,G18)&gt;1,"DUPLICADO","OK"))))))</x:f>
      </x:c>
      <x:c r="AA18" s="44" t="n">
        <x:f>IF(ISNUMBER(H18),1,0)</x:f>
        <x:v>0</x:v>
      </x:c>
      <x:c r="AB18" s="44" t="n">
        <x:f>IF(ISNUMBER(I18),1,0)</x:f>
        <x:v>0</x:v>
      </x:c>
      <x:c r="AC18" s="44" t="n">
        <x:f>IF(ISNUMBER(T18),1,0)</x:f>
        <x:v>0</x:v>
      </x:c>
      <x:c r="AD18" s="44" t="n">
        <x:f>IF(ISNUMBER(U18),1,0)</x:f>
        <x:v>0</x:v>
      </x:c>
      <x:c r="AE18" s="44" t="n">
        <x:f>IF(ISNUMBER(V18),1,0)</x:f>
        <x:v>0</x:v>
      </x:c>
      <x:c r="AF18" s="44" t="n">
        <x:f>IF(ISNUMBER(W18),1,0)</x:f>
        <x:v>0</x:v>
      </x:c>
      <x:c r="AG18" s="44" t="n">
        <x:f>IF(ISNUMBER(X18),1,0)</x:f>
        <x:v>0</x:v>
      </x:c>
      <x:c r="AH18" s="44" t="n">
        <x:f>IF(ISNUMBER(P18),1,0)</x:f>
        <x:v>0</x:v>
      </x:c>
      <x:c r="AI18" s="44" t="n">
        <x:f>IF(ISNUMBER(O18),1,0)</x:f>
        <x:v>0</x:v>
      </x:c>
    </x:row>
    <x:row r="19" ht="22" customHeight="1">
      <x:c r="A19" s="26"/>
      <x:c r="B19" s="26"/>
      <x:c r="C19" s="14"/>
      <x:c r="D19" s="14"/>
      <x:c r="E19" s="14"/>
      <x:c r="F19" s="28"/>
      <x:c r="G19" s="14"/>
      <x:c r="H19" s="30"/>
      <x:c r="I19" s="30"/>
      <x:c r="J19" s="30"/>
      <x:c r="K19" s="30"/>
      <x:c r="L19" s="30"/>
      <x:c r="M19" s="30"/>
      <x:c r="N19" s="30"/>
      <x:c r="O19" s="32"/>
      <x:c r="P19" s="34"/>
      <x:c r="Q19" s="14"/>
      <x:c r="R19" s="14"/>
      <x:c r="S19" s="36" t="str">
        <x:f>IF(COUNT(J19:M19)&lt;4,"",SUM(J19:M19))</x:f>
      </x:c>
      <x:c r="T19" s="38" t="str">
        <x:f>IF(OR(S19="",I19="",I19&lt;=0),"",S19/I19)</x:f>
      </x:c>
      <x:c r="U19" s="38" t="str">
        <x:f>IF(OR(L19="",I19="",I19&lt;=0),"",L19/I19)</x:f>
      </x:c>
      <x:c r="V19" s="38" t="str">
        <x:f>IF(OR(M19="",I19="",I19&lt;=0),"",M19/I19)</x:f>
      </x:c>
      <x:c r="W19" s="38" t="str">
        <x:f>IF(OR(N19="",I19="",I19&lt;=0),"",N19/I19)</x:f>
      </x:c>
      <x:c r="X19" s="38" t="str">
        <x:f>IF(OR(O19="",F19="",F19&lt;=0),"",O19/F19)</x:f>
      </x:c>
      <x:c r="Y19" s="40" t="str">
        <x:f>IF(OR(A19="",B19=""),"",B19-A19)</x:f>
      </x:c>
      <x:c r="Z19" s="8" t="str">
        <x:f>IF(COUNTA(A19:R19)=0,"",IF(OR(A19="",B19="",C19="",G19="",H19=""),"INCOMPLETO",IF(B19&lt;A19,"DATA INVÁLIDA",IF(AND(G19="7d",OR(Y19&lt;7,Y19&gt;10)),"FORA DA JANELA",IF(AND(G19="30d",OR(Y19&lt;30,Y19&gt;35)),"FORA DA JANELA",IF(COUNTIFS($C$2:$C$201,C19,$G$2:$G$201,G19)&gt;1,"DUPLICADO","OK"))))))</x:f>
      </x:c>
      <x:c r="AA19" s="44" t="n">
        <x:f>IF(ISNUMBER(H19),1,0)</x:f>
        <x:v>0</x:v>
      </x:c>
      <x:c r="AB19" s="44" t="n">
        <x:f>IF(ISNUMBER(I19),1,0)</x:f>
        <x:v>0</x:v>
      </x:c>
      <x:c r="AC19" s="44" t="n">
        <x:f>IF(ISNUMBER(T19),1,0)</x:f>
        <x:v>0</x:v>
      </x:c>
      <x:c r="AD19" s="44" t="n">
        <x:f>IF(ISNUMBER(U19),1,0)</x:f>
        <x:v>0</x:v>
      </x:c>
      <x:c r="AE19" s="44" t="n">
        <x:f>IF(ISNUMBER(V19),1,0)</x:f>
        <x:v>0</x:v>
      </x:c>
      <x:c r="AF19" s="44" t="n">
        <x:f>IF(ISNUMBER(W19),1,0)</x:f>
        <x:v>0</x:v>
      </x:c>
      <x:c r="AG19" s="44" t="n">
        <x:f>IF(ISNUMBER(X19),1,0)</x:f>
        <x:v>0</x:v>
      </x:c>
      <x:c r="AH19" s="44" t="n">
        <x:f>IF(ISNUMBER(P19),1,0)</x:f>
        <x:v>0</x:v>
      </x:c>
      <x:c r="AI19" s="44" t="n">
        <x:f>IF(ISNUMBER(O19),1,0)</x:f>
        <x:v>0</x:v>
      </x:c>
    </x:row>
    <x:row r="20" ht="22" customHeight="1">
      <x:c r="A20" s="26"/>
      <x:c r="B20" s="26"/>
      <x:c r="C20" s="14"/>
      <x:c r="D20" s="14"/>
      <x:c r="E20" s="14"/>
      <x:c r="F20" s="28"/>
      <x:c r="G20" s="14"/>
      <x:c r="H20" s="30"/>
      <x:c r="I20" s="30"/>
      <x:c r="J20" s="30"/>
      <x:c r="K20" s="30"/>
      <x:c r="L20" s="30"/>
      <x:c r="M20" s="30"/>
      <x:c r="N20" s="30"/>
      <x:c r="O20" s="32"/>
      <x:c r="P20" s="34"/>
      <x:c r="Q20" s="14"/>
      <x:c r="R20" s="14"/>
      <x:c r="S20" s="36" t="str">
        <x:f>IF(COUNT(J20:M20)&lt;4,"",SUM(J20:M20))</x:f>
      </x:c>
      <x:c r="T20" s="38" t="str">
        <x:f>IF(OR(S20="",I20="",I20&lt;=0),"",S20/I20)</x:f>
      </x:c>
      <x:c r="U20" s="38" t="str">
        <x:f>IF(OR(L20="",I20="",I20&lt;=0),"",L20/I20)</x:f>
      </x:c>
      <x:c r="V20" s="38" t="str">
        <x:f>IF(OR(M20="",I20="",I20&lt;=0),"",M20/I20)</x:f>
      </x:c>
      <x:c r="W20" s="38" t="str">
        <x:f>IF(OR(N20="",I20="",I20&lt;=0),"",N20/I20)</x:f>
      </x:c>
      <x:c r="X20" s="38" t="str">
        <x:f>IF(OR(O20="",F20="",F20&lt;=0),"",O20/F20)</x:f>
      </x:c>
      <x:c r="Y20" s="40" t="str">
        <x:f>IF(OR(A20="",B20=""),"",B20-A20)</x:f>
      </x:c>
      <x:c r="Z20" s="8" t="str">
        <x:f>IF(COUNTA(A20:R20)=0,"",IF(OR(A20="",B20="",C20="",G20="",H20=""),"INCOMPLETO",IF(B20&lt;A20,"DATA INVÁLIDA",IF(AND(G20="7d",OR(Y20&lt;7,Y20&gt;10)),"FORA DA JANELA",IF(AND(G20="30d",OR(Y20&lt;30,Y20&gt;35)),"FORA DA JANELA",IF(COUNTIFS($C$2:$C$201,C20,$G$2:$G$201,G20)&gt;1,"DUPLICADO","OK"))))))</x:f>
      </x:c>
      <x:c r="AA20" s="44" t="n">
        <x:f>IF(ISNUMBER(H20),1,0)</x:f>
        <x:v>0</x:v>
      </x:c>
      <x:c r="AB20" s="44" t="n">
        <x:f>IF(ISNUMBER(I20),1,0)</x:f>
        <x:v>0</x:v>
      </x:c>
      <x:c r="AC20" s="44" t="n">
        <x:f>IF(ISNUMBER(T20),1,0)</x:f>
        <x:v>0</x:v>
      </x:c>
      <x:c r="AD20" s="44" t="n">
        <x:f>IF(ISNUMBER(U20),1,0)</x:f>
        <x:v>0</x:v>
      </x:c>
      <x:c r="AE20" s="44" t="n">
        <x:f>IF(ISNUMBER(V20),1,0)</x:f>
        <x:v>0</x:v>
      </x:c>
      <x:c r="AF20" s="44" t="n">
        <x:f>IF(ISNUMBER(W20),1,0)</x:f>
        <x:v>0</x:v>
      </x:c>
      <x:c r="AG20" s="44" t="n">
        <x:f>IF(ISNUMBER(X20),1,0)</x:f>
        <x:v>0</x:v>
      </x:c>
      <x:c r="AH20" s="44" t="n">
        <x:f>IF(ISNUMBER(P20),1,0)</x:f>
        <x:v>0</x:v>
      </x:c>
      <x:c r="AI20" s="44" t="n">
        <x:f>IF(ISNUMBER(O20),1,0)</x:f>
        <x:v>0</x:v>
      </x:c>
    </x:row>
    <x:row r="21" ht="22" customHeight="1">
      <x:c r="A21" s="26"/>
      <x:c r="B21" s="26"/>
      <x:c r="C21" s="14"/>
      <x:c r="D21" s="14"/>
      <x:c r="E21" s="14"/>
      <x:c r="F21" s="28"/>
      <x:c r="G21" s="14"/>
      <x:c r="H21" s="30"/>
      <x:c r="I21" s="30"/>
      <x:c r="J21" s="30"/>
      <x:c r="K21" s="30"/>
      <x:c r="L21" s="30"/>
      <x:c r="M21" s="30"/>
      <x:c r="N21" s="30"/>
      <x:c r="O21" s="32"/>
      <x:c r="P21" s="34"/>
      <x:c r="Q21" s="14"/>
      <x:c r="R21" s="14"/>
      <x:c r="S21" s="36" t="str">
        <x:f>IF(COUNT(J21:M21)&lt;4,"",SUM(J21:M21))</x:f>
      </x:c>
      <x:c r="T21" s="38" t="str">
        <x:f>IF(OR(S21="",I21="",I21&lt;=0),"",S21/I21)</x:f>
      </x:c>
      <x:c r="U21" s="38" t="str">
        <x:f>IF(OR(L21="",I21="",I21&lt;=0),"",L21/I21)</x:f>
      </x:c>
      <x:c r="V21" s="38" t="str">
        <x:f>IF(OR(M21="",I21="",I21&lt;=0),"",M21/I21)</x:f>
      </x:c>
      <x:c r="W21" s="38" t="str">
        <x:f>IF(OR(N21="",I21="",I21&lt;=0),"",N21/I21)</x:f>
      </x:c>
      <x:c r="X21" s="38" t="str">
        <x:f>IF(OR(O21="",F21="",F21&lt;=0),"",O21/F21)</x:f>
      </x:c>
      <x:c r="Y21" s="40" t="str">
        <x:f>IF(OR(A21="",B21=""),"",B21-A21)</x:f>
      </x:c>
      <x:c r="Z21" s="8" t="str">
        <x:f>IF(COUNTA(A21:R21)=0,"",IF(OR(A21="",B21="",C21="",G21="",H21=""),"INCOMPLETO",IF(B21&lt;A21,"DATA INVÁLIDA",IF(AND(G21="7d",OR(Y21&lt;7,Y21&gt;10)),"FORA DA JANELA",IF(AND(G21="30d",OR(Y21&lt;30,Y21&gt;35)),"FORA DA JANELA",IF(COUNTIFS($C$2:$C$201,C21,$G$2:$G$201,G21)&gt;1,"DUPLICADO","OK"))))))</x:f>
      </x:c>
      <x:c r="AA21" s="44" t="n">
        <x:f>IF(ISNUMBER(H21),1,0)</x:f>
        <x:v>0</x:v>
      </x:c>
      <x:c r="AB21" s="44" t="n">
        <x:f>IF(ISNUMBER(I21),1,0)</x:f>
        <x:v>0</x:v>
      </x:c>
      <x:c r="AC21" s="44" t="n">
        <x:f>IF(ISNUMBER(T21),1,0)</x:f>
        <x:v>0</x:v>
      </x:c>
      <x:c r="AD21" s="44" t="n">
        <x:f>IF(ISNUMBER(U21),1,0)</x:f>
        <x:v>0</x:v>
      </x:c>
      <x:c r="AE21" s="44" t="n">
        <x:f>IF(ISNUMBER(V21),1,0)</x:f>
        <x:v>0</x:v>
      </x:c>
      <x:c r="AF21" s="44" t="n">
        <x:f>IF(ISNUMBER(W21),1,0)</x:f>
        <x:v>0</x:v>
      </x:c>
      <x:c r="AG21" s="44" t="n">
        <x:f>IF(ISNUMBER(X21),1,0)</x:f>
        <x:v>0</x:v>
      </x:c>
      <x:c r="AH21" s="44" t="n">
        <x:f>IF(ISNUMBER(P21),1,0)</x:f>
        <x:v>0</x:v>
      </x:c>
      <x:c r="AI21" s="44" t="n">
        <x:f>IF(ISNUMBER(O21),1,0)</x:f>
        <x:v>0</x:v>
      </x:c>
    </x:row>
    <x:row r="22" ht="22" customHeight="1">
      <x:c r="A22" s="26"/>
      <x:c r="B22" s="26"/>
      <x:c r="C22" s="14"/>
      <x:c r="D22" s="14"/>
      <x:c r="E22" s="14"/>
      <x:c r="F22" s="28"/>
      <x:c r="G22" s="14"/>
      <x:c r="H22" s="30"/>
      <x:c r="I22" s="30"/>
      <x:c r="J22" s="30"/>
      <x:c r="K22" s="30"/>
      <x:c r="L22" s="30"/>
      <x:c r="M22" s="30"/>
      <x:c r="N22" s="30"/>
      <x:c r="O22" s="32"/>
      <x:c r="P22" s="34"/>
      <x:c r="Q22" s="14"/>
      <x:c r="R22" s="14"/>
      <x:c r="S22" s="36" t="str">
        <x:f>IF(COUNT(J22:M22)&lt;4,"",SUM(J22:M22))</x:f>
      </x:c>
      <x:c r="T22" s="38" t="str">
        <x:f>IF(OR(S22="",I22="",I22&lt;=0),"",S22/I22)</x:f>
      </x:c>
      <x:c r="U22" s="38" t="str">
        <x:f>IF(OR(L22="",I22="",I22&lt;=0),"",L22/I22)</x:f>
      </x:c>
      <x:c r="V22" s="38" t="str">
        <x:f>IF(OR(M22="",I22="",I22&lt;=0),"",M22/I22)</x:f>
      </x:c>
      <x:c r="W22" s="38" t="str">
        <x:f>IF(OR(N22="",I22="",I22&lt;=0),"",N22/I22)</x:f>
      </x:c>
      <x:c r="X22" s="38" t="str">
        <x:f>IF(OR(O22="",F22="",F22&lt;=0),"",O22/F22)</x:f>
      </x:c>
      <x:c r="Y22" s="40" t="str">
        <x:f>IF(OR(A22="",B22=""),"",B22-A22)</x:f>
      </x:c>
      <x:c r="Z22" s="8" t="str">
        <x:f>IF(COUNTA(A22:R22)=0,"",IF(OR(A22="",B22="",C22="",G22="",H22=""),"INCOMPLETO",IF(B22&lt;A22,"DATA INVÁLIDA",IF(AND(G22="7d",OR(Y22&lt;7,Y22&gt;10)),"FORA DA JANELA",IF(AND(G22="30d",OR(Y22&lt;30,Y22&gt;35)),"FORA DA JANELA",IF(COUNTIFS($C$2:$C$201,C22,$G$2:$G$201,G22)&gt;1,"DUPLICADO","OK"))))))</x:f>
      </x:c>
      <x:c r="AA22" s="44" t="n">
        <x:f>IF(ISNUMBER(H22),1,0)</x:f>
        <x:v>0</x:v>
      </x:c>
      <x:c r="AB22" s="44" t="n">
        <x:f>IF(ISNUMBER(I22),1,0)</x:f>
        <x:v>0</x:v>
      </x:c>
      <x:c r="AC22" s="44" t="n">
        <x:f>IF(ISNUMBER(T22),1,0)</x:f>
        <x:v>0</x:v>
      </x:c>
      <x:c r="AD22" s="44" t="n">
        <x:f>IF(ISNUMBER(U22),1,0)</x:f>
        <x:v>0</x:v>
      </x:c>
      <x:c r="AE22" s="44" t="n">
        <x:f>IF(ISNUMBER(V22),1,0)</x:f>
        <x:v>0</x:v>
      </x:c>
      <x:c r="AF22" s="44" t="n">
        <x:f>IF(ISNUMBER(W22),1,0)</x:f>
        <x:v>0</x:v>
      </x:c>
      <x:c r="AG22" s="44" t="n">
        <x:f>IF(ISNUMBER(X22),1,0)</x:f>
        <x:v>0</x:v>
      </x:c>
      <x:c r="AH22" s="44" t="n">
        <x:f>IF(ISNUMBER(P22),1,0)</x:f>
        <x:v>0</x:v>
      </x:c>
      <x:c r="AI22" s="44" t="n">
        <x:f>IF(ISNUMBER(O22),1,0)</x:f>
        <x:v>0</x:v>
      </x:c>
    </x:row>
    <x:row r="23" ht="22" customHeight="1">
      <x:c r="A23" s="26"/>
      <x:c r="B23" s="26"/>
      <x:c r="C23" s="14"/>
      <x:c r="D23" s="14"/>
      <x:c r="E23" s="14"/>
      <x:c r="F23" s="28"/>
      <x:c r="G23" s="14"/>
      <x:c r="H23" s="30"/>
      <x:c r="I23" s="30"/>
      <x:c r="J23" s="30"/>
      <x:c r="K23" s="30"/>
      <x:c r="L23" s="30"/>
      <x:c r="M23" s="30"/>
      <x:c r="N23" s="30"/>
      <x:c r="O23" s="32"/>
      <x:c r="P23" s="34"/>
      <x:c r="Q23" s="14"/>
      <x:c r="R23" s="14"/>
      <x:c r="S23" s="36" t="str">
        <x:f>IF(COUNT(J23:M23)&lt;4,"",SUM(J23:M23))</x:f>
      </x:c>
      <x:c r="T23" s="38" t="str">
        <x:f>IF(OR(S23="",I23="",I23&lt;=0),"",S23/I23)</x:f>
      </x:c>
      <x:c r="U23" s="38" t="str">
        <x:f>IF(OR(L23="",I23="",I23&lt;=0),"",L23/I23)</x:f>
      </x:c>
      <x:c r="V23" s="38" t="str">
        <x:f>IF(OR(M23="",I23="",I23&lt;=0),"",M23/I23)</x:f>
      </x:c>
      <x:c r="W23" s="38" t="str">
        <x:f>IF(OR(N23="",I23="",I23&lt;=0),"",N23/I23)</x:f>
      </x:c>
      <x:c r="X23" s="38" t="str">
        <x:f>IF(OR(O23="",F23="",F23&lt;=0),"",O23/F23)</x:f>
      </x:c>
      <x:c r="Y23" s="40" t="str">
        <x:f>IF(OR(A23="",B23=""),"",B23-A23)</x:f>
      </x:c>
      <x:c r="Z23" s="8" t="str">
        <x:f>IF(COUNTA(A23:R23)=0,"",IF(OR(A23="",B23="",C23="",G23="",H23=""),"INCOMPLETO",IF(B23&lt;A23,"DATA INVÁLIDA",IF(AND(G23="7d",OR(Y23&lt;7,Y23&gt;10)),"FORA DA JANELA",IF(AND(G23="30d",OR(Y23&lt;30,Y23&gt;35)),"FORA DA JANELA",IF(COUNTIFS($C$2:$C$201,C23,$G$2:$G$201,G23)&gt;1,"DUPLICADO","OK"))))))</x:f>
      </x:c>
      <x:c r="AA23" s="44" t="n">
        <x:f>IF(ISNUMBER(H23),1,0)</x:f>
        <x:v>0</x:v>
      </x:c>
      <x:c r="AB23" s="44" t="n">
        <x:f>IF(ISNUMBER(I23),1,0)</x:f>
        <x:v>0</x:v>
      </x:c>
      <x:c r="AC23" s="44" t="n">
        <x:f>IF(ISNUMBER(T23),1,0)</x:f>
        <x:v>0</x:v>
      </x:c>
      <x:c r="AD23" s="44" t="n">
        <x:f>IF(ISNUMBER(U23),1,0)</x:f>
        <x:v>0</x:v>
      </x:c>
      <x:c r="AE23" s="44" t="n">
        <x:f>IF(ISNUMBER(V23),1,0)</x:f>
        <x:v>0</x:v>
      </x:c>
      <x:c r="AF23" s="44" t="n">
        <x:f>IF(ISNUMBER(W23),1,0)</x:f>
        <x:v>0</x:v>
      </x:c>
      <x:c r="AG23" s="44" t="n">
        <x:f>IF(ISNUMBER(X23),1,0)</x:f>
        <x:v>0</x:v>
      </x:c>
      <x:c r="AH23" s="44" t="n">
        <x:f>IF(ISNUMBER(P23),1,0)</x:f>
        <x:v>0</x:v>
      </x:c>
      <x:c r="AI23" s="44" t="n">
        <x:f>IF(ISNUMBER(O23),1,0)</x:f>
        <x:v>0</x:v>
      </x:c>
    </x:row>
    <x:row r="24" ht="22" customHeight="1">
      <x:c r="A24" s="26"/>
      <x:c r="B24" s="26"/>
      <x:c r="C24" s="14"/>
      <x:c r="D24" s="14"/>
      <x:c r="E24" s="14"/>
      <x:c r="F24" s="28"/>
      <x:c r="G24" s="14"/>
      <x:c r="H24" s="30"/>
      <x:c r="I24" s="30"/>
      <x:c r="J24" s="30"/>
      <x:c r="K24" s="30"/>
      <x:c r="L24" s="30"/>
      <x:c r="M24" s="30"/>
      <x:c r="N24" s="30"/>
      <x:c r="O24" s="32"/>
      <x:c r="P24" s="34"/>
      <x:c r="Q24" s="14"/>
      <x:c r="R24" s="14"/>
      <x:c r="S24" s="36" t="str">
        <x:f>IF(COUNT(J24:M24)&lt;4,"",SUM(J24:M24))</x:f>
      </x:c>
      <x:c r="T24" s="38" t="str">
        <x:f>IF(OR(S24="",I24="",I24&lt;=0),"",S24/I24)</x:f>
      </x:c>
      <x:c r="U24" s="38" t="str">
        <x:f>IF(OR(L24="",I24="",I24&lt;=0),"",L24/I24)</x:f>
      </x:c>
      <x:c r="V24" s="38" t="str">
        <x:f>IF(OR(M24="",I24="",I24&lt;=0),"",M24/I24)</x:f>
      </x:c>
      <x:c r="W24" s="38" t="str">
        <x:f>IF(OR(N24="",I24="",I24&lt;=0),"",N24/I24)</x:f>
      </x:c>
      <x:c r="X24" s="38" t="str">
        <x:f>IF(OR(O24="",F24="",F24&lt;=0),"",O24/F24)</x:f>
      </x:c>
      <x:c r="Y24" s="40" t="str">
        <x:f>IF(OR(A24="",B24=""),"",B24-A24)</x:f>
      </x:c>
      <x:c r="Z24" s="8" t="str">
        <x:f>IF(COUNTA(A24:R24)=0,"",IF(OR(A24="",B24="",C24="",G24="",H24=""),"INCOMPLETO",IF(B24&lt;A24,"DATA INVÁLIDA",IF(AND(G24="7d",OR(Y24&lt;7,Y24&gt;10)),"FORA DA JANELA",IF(AND(G24="30d",OR(Y24&lt;30,Y24&gt;35)),"FORA DA JANELA",IF(COUNTIFS($C$2:$C$201,C24,$G$2:$G$201,G24)&gt;1,"DUPLICADO","OK"))))))</x:f>
      </x:c>
      <x:c r="AA24" s="44" t="n">
        <x:f>IF(ISNUMBER(H24),1,0)</x:f>
        <x:v>0</x:v>
      </x:c>
      <x:c r="AB24" s="44" t="n">
        <x:f>IF(ISNUMBER(I24),1,0)</x:f>
        <x:v>0</x:v>
      </x:c>
      <x:c r="AC24" s="44" t="n">
        <x:f>IF(ISNUMBER(T24),1,0)</x:f>
        <x:v>0</x:v>
      </x:c>
      <x:c r="AD24" s="44" t="n">
        <x:f>IF(ISNUMBER(U24),1,0)</x:f>
        <x:v>0</x:v>
      </x:c>
      <x:c r="AE24" s="44" t="n">
        <x:f>IF(ISNUMBER(V24),1,0)</x:f>
        <x:v>0</x:v>
      </x:c>
      <x:c r="AF24" s="44" t="n">
        <x:f>IF(ISNUMBER(W24),1,0)</x:f>
        <x:v>0</x:v>
      </x:c>
      <x:c r="AG24" s="44" t="n">
        <x:f>IF(ISNUMBER(X24),1,0)</x:f>
        <x:v>0</x:v>
      </x:c>
      <x:c r="AH24" s="44" t="n">
        <x:f>IF(ISNUMBER(P24),1,0)</x:f>
        <x:v>0</x:v>
      </x:c>
      <x:c r="AI24" s="44" t="n">
        <x:f>IF(ISNUMBER(O24),1,0)</x:f>
        <x:v>0</x:v>
      </x:c>
    </x:row>
    <x:row r="25" ht="22" customHeight="1">
      <x:c r="A25" s="26"/>
      <x:c r="B25" s="26"/>
      <x:c r="C25" s="14"/>
      <x:c r="D25" s="14"/>
      <x:c r="E25" s="14"/>
      <x:c r="F25" s="28"/>
      <x:c r="G25" s="14"/>
      <x:c r="H25" s="30"/>
      <x:c r="I25" s="30"/>
      <x:c r="J25" s="30"/>
      <x:c r="K25" s="30"/>
      <x:c r="L25" s="30"/>
      <x:c r="M25" s="30"/>
      <x:c r="N25" s="30"/>
      <x:c r="O25" s="32"/>
      <x:c r="P25" s="34"/>
      <x:c r="Q25" s="14"/>
      <x:c r="R25" s="14"/>
      <x:c r="S25" s="36" t="str">
        <x:f>IF(COUNT(J25:M25)&lt;4,"",SUM(J25:M25))</x:f>
      </x:c>
      <x:c r="T25" s="38" t="str">
        <x:f>IF(OR(S25="",I25="",I25&lt;=0),"",S25/I25)</x:f>
      </x:c>
      <x:c r="U25" s="38" t="str">
        <x:f>IF(OR(L25="",I25="",I25&lt;=0),"",L25/I25)</x:f>
      </x:c>
      <x:c r="V25" s="38" t="str">
        <x:f>IF(OR(M25="",I25="",I25&lt;=0),"",M25/I25)</x:f>
      </x:c>
      <x:c r="W25" s="38" t="str">
        <x:f>IF(OR(N25="",I25="",I25&lt;=0),"",N25/I25)</x:f>
      </x:c>
      <x:c r="X25" s="38" t="str">
        <x:f>IF(OR(O25="",F25="",F25&lt;=0),"",O25/F25)</x:f>
      </x:c>
      <x:c r="Y25" s="40" t="str">
        <x:f>IF(OR(A25="",B25=""),"",B25-A25)</x:f>
      </x:c>
      <x:c r="Z25" s="8" t="str">
        <x:f>IF(COUNTA(A25:R25)=0,"",IF(OR(A25="",B25="",C25="",G25="",H25=""),"INCOMPLETO",IF(B25&lt;A25,"DATA INVÁLIDA",IF(AND(G25="7d",OR(Y25&lt;7,Y25&gt;10)),"FORA DA JANELA",IF(AND(G25="30d",OR(Y25&lt;30,Y25&gt;35)),"FORA DA JANELA",IF(COUNTIFS($C$2:$C$201,C25,$G$2:$G$201,G25)&gt;1,"DUPLICADO","OK"))))))</x:f>
      </x:c>
      <x:c r="AA25" s="44" t="n">
        <x:f>IF(ISNUMBER(H25),1,0)</x:f>
        <x:v>0</x:v>
      </x:c>
      <x:c r="AB25" s="44" t="n">
        <x:f>IF(ISNUMBER(I25),1,0)</x:f>
        <x:v>0</x:v>
      </x:c>
      <x:c r="AC25" s="44" t="n">
        <x:f>IF(ISNUMBER(T25),1,0)</x:f>
        <x:v>0</x:v>
      </x:c>
      <x:c r="AD25" s="44" t="n">
        <x:f>IF(ISNUMBER(U25),1,0)</x:f>
        <x:v>0</x:v>
      </x:c>
      <x:c r="AE25" s="44" t="n">
        <x:f>IF(ISNUMBER(V25),1,0)</x:f>
        <x:v>0</x:v>
      </x:c>
      <x:c r="AF25" s="44" t="n">
        <x:f>IF(ISNUMBER(W25),1,0)</x:f>
        <x:v>0</x:v>
      </x:c>
      <x:c r="AG25" s="44" t="n">
        <x:f>IF(ISNUMBER(X25),1,0)</x:f>
        <x:v>0</x:v>
      </x:c>
      <x:c r="AH25" s="44" t="n">
        <x:f>IF(ISNUMBER(P25),1,0)</x:f>
        <x:v>0</x:v>
      </x:c>
      <x:c r="AI25" s="44" t="n">
        <x:f>IF(ISNUMBER(O25),1,0)</x:f>
        <x:v>0</x:v>
      </x:c>
    </x:row>
    <x:row r="26" ht="22" customHeight="1">
      <x:c r="A26" s="26"/>
      <x:c r="B26" s="26"/>
      <x:c r="C26" s="14"/>
      <x:c r="D26" s="14"/>
      <x:c r="E26" s="14"/>
      <x:c r="F26" s="28"/>
      <x:c r="G26" s="14"/>
      <x:c r="H26" s="30"/>
      <x:c r="I26" s="30"/>
      <x:c r="J26" s="30"/>
      <x:c r="K26" s="30"/>
      <x:c r="L26" s="30"/>
      <x:c r="M26" s="30"/>
      <x:c r="N26" s="30"/>
      <x:c r="O26" s="32"/>
      <x:c r="P26" s="34"/>
      <x:c r="Q26" s="14"/>
      <x:c r="R26" s="14"/>
      <x:c r="S26" s="36" t="str">
        <x:f>IF(COUNT(J26:M26)&lt;4,"",SUM(J26:M26))</x:f>
      </x:c>
      <x:c r="T26" s="38" t="str">
        <x:f>IF(OR(S26="",I26="",I26&lt;=0),"",S26/I26)</x:f>
      </x:c>
      <x:c r="U26" s="38" t="str">
        <x:f>IF(OR(L26="",I26="",I26&lt;=0),"",L26/I26)</x:f>
      </x:c>
      <x:c r="V26" s="38" t="str">
        <x:f>IF(OR(M26="",I26="",I26&lt;=0),"",M26/I26)</x:f>
      </x:c>
      <x:c r="W26" s="38" t="str">
        <x:f>IF(OR(N26="",I26="",I26&lt;=0),"",N26/I26)</x:f>
      </x:c>
      <x:c r="X26" s="38" t="str">
        <x:f>IF(OR(O26="",F26="",F26&lt;=0),"",O26/F26)</x:f>
      </x:c>
      <x:c r="Y26" s="40" t="str">
        <x:f>IF(OR(A26="",B26=""),"",B26-A26)</x:f>
      </x:c>
      <x:c r="Z26" s="8" t="str">
        <x:f>IF(COUNTA(A26:R26)=0,"",IF(OR(A26="",B26="",C26="",G26="",H26=""),"INCOMPLETO",IF(B26&lt;A26,"DATA INVÁLIDA",IF(AND(G26="7d",OR(Y26&lt;7,Y26&gt;10)),"FORA DA JANELA",IF(AND(G26="30d",OR(Y26&lt;30,Y26&gt;35)),"FORA DA JANELA",IF(COUNTIFS($C$2:$C$201,C26,$G$2:$G$201,G26)&gt;1,"DUPLICADO","OK"))))))</x:f>
      </x:c>
      <x:c r="AA26" s="44" t="n">
        <x:f>IF(ISNUMBER(H26),1,0)</x:f>
        <x:v>0</x:v>
      </x:c>
      <x:c r="AB26" s="44" t="n">
        <x:f>IF(ISNUMBER(I26),1,0)</x:f>
        <x:v>0</x:v>
      </x:c>
      <x:c r="AC26" s="44" t="n">
        <x:f>IF(ISNUMBER(T26),1,0)</x:f>
        <x:v>0</x:v>
      </x:c>
      <x:c r="AD26" s="44" t="n">
        <x:f>IF(ISNUMBER(U26),1,0)</x:f>
        <x:v>0</x:v>
      </x:c>
      <x:c r="AE26" s="44" t="n">
        <x:f>IF(ISNUMBER(V26),1,0)</x:f>
        <x:v>0</x:v>
      </x:c>
      <x:c r="AF26" s="44" t="n">
        <x:f>IF(ISNUMBER(W26),1,0)</x:f>
        <x:v>0</x:v>
      </x:c>
      <x:c r="AG26" s="44" t="n">
        <x:f>IF(ISNUMBER(X26),1,0)</x:f>
        <x:v>0</x:v>
      </x:c>
      <x:c r="AH26" s="44" t="n">
        <x:f>IF(ISNUMBER(P26),1,0)</x:f>
        <x:v>0</x:v>
      </x:c>
      <x:c r="AI26" s="44" t="n">
        <x:f>IF(ISNUMBER(O26),1,0)</x:f>
        <x:v>0</x:v>
      </x:c>
    </x:row>
    <x:row r="27" ht="22" customHeight="1">
      <x:c r="A27" s="26"/>
      <x:c r="B27" s="26"/>
      <x:c r="C27" s="14"/>
      <x:c r="D27" s="14"/>
      <x:c r="E27" s="14"/>
      <x:c r="F27" s="28"/>
      <x:c r="G27" s="14"/>
      <x:c r="H27" s="30"/>
      <x:c r="I27" s="30"/>
      <x:c r="J27" s="30"/>
      <x:c r="K27" s="30"/>
      <x:c r="L27" s="30"/>
      <x:c r="M27" s="30"/>
      <x:c r="N27" s="30"/>
      <x:c r="O27" s="32"/>
      <x:c r="P27" s="34"/>
      <x:c r="Q27" s="14"/>
      <x:c r="R27" s="14"/>
      <x:c r="S27" s="36" t="str">
        <x:f>IF(COUNT(J27:M27)&lt;4,"",SUM(J27:M27))</x:f>
      </x:c>
      <x:c r="T27" s="38" t="str">
        <x:f>IF(OR(S27="",I27="",I27&lt;=0),"",S27/I27)</x:f>
      </x:c>
      <x:c r="U27" s="38" t="str">
        <x:f>IF(OR(L27="",I27="",I27&lt;=0),"",L27/I27)</x:f>
      </x:c>
      <x:c r="V27" s="38" t="str">
        <x:f>IF(OR(M27="",I27="",I27&lt;=0),"",M27/I27)</x:f>
      </x:c>
      <x:c r="W27" s="38" t="str">
        <x:f>IF(OR(N27="",I27="",I27&lt;=0),"",N27/I27)</x:f>
      </x:c>
      <x:c r="X27" s="38" t="str">
        <x:f>IF(OR(O27="",F27="",F27&lt;=0),"",O27/F27)</x:f>
      </x:c>
      <x:c r="Y27" s="40" t="str">
        <x:f>IF(OR(A27="",B27=""),"",B27-A27)</x:f>
      </x:c>
      <x:c r="Z27" s="8" t="str">
        <x:f>IF(COUNTA(A27:R27)=0,"",IF(OR(A27="",B27="",C27="",G27="",H27=""),"INCOMPLETO",IF(B27&lt;A27,"DATA INVÁLIDA",IF(AND(G27="7d",OR(Y27&lt;7,Y27&gt;10)),"FORA DA JANELA",IF(AND(G27="30d",OR(Y27&lt;30,Y27&gt;35)),"FORA DA JANELA",IF(COUNTIFS($C$2:$C$201,C27,$G$2:$G$201,G27)&gt;1,"DUPLICADO","OK"))))))</x:f>
      </x:c>
      <x:c r="AA27" s="44" t="n">
        <x:f>IF(ISNUMBER(H27),1,0)</x:f>
        <x:v>0</x:v>
      </x:c>
      <x:c r="AB27" s="44" t="n">
        <x:f>IF(ISNUMBER(I27),1,0)</x:f>
        <x:v>0</x:v>
      </x:c>
      <x:c r="AC27" s="44" t="n">
        <x:f>IF(ISNUMBER(T27),1,0)</x:f>
        <x:v>0</x:v>
      </x:c>
      <x:c r="AD27" s="44" t="n">
        <x:f>IF(ISNUMBER(U27),1,0)</x:f>
        <x:v>0</x:v>
      </x:c>
      <x:c r="AE27" s="44" t="n">
        <x:f>IF(ISNUMBER(V27),1,0)</x:f>
        <x:v>0</x:v>
      </x:c>
      <x:c r="AF27" s="44" t="n">
        <x:f>IF(ISNUMBER(W27),1,0)</x:f>
        <x:v>0</x:v>
      </x:c>
      <x:c r="AG27" s="44" t="n">
        <x:f>IF(ISNUMBER(X27),1,0)</x:f>
        <x:v>0</x:v>
      </x:c>
      <x:c r="AH27" s="44" t="n">
        <x:f>IF(ISNUMBER(P27),1,0)</x:f>
        <x:v>0</x:v>
      </x:c>
      <x:c r="AI27" s="44" t="n">
        <x:f>IF(ISNUMBER(O27),1,0)</x:f>
        <x:v>0</x:v>
      </x:c>
    </x:row>
    <x:row r="28" ht="22" customHeight="1">
      <x:c r="A28" s="26"/>
      <x:c r="B28" s="26"/>
      <x:c r="C28" s="14"/>
      <x:c r="D28" s="14"/>
      <x:c r="E28" s="14"/>
      <x:c r="F28" s="28"/>
      <x:c r="G28" s="14"/>
      <x:c r="H28" s="30"/>
      <x:c r="I28" s="30"/>
      <x:c r="J28" s="30"/>
      <x:c r="K28" s="30"/>
      <x:c r="L28" s="30"/>
      <x:c r="M28" s="30"/>
      <x:c r="N28" s="30"/>
      <x:c r="O28" s="32"/>
      <x:c r="P28" s="34"/>
      <x:c r="Q28" s="14"/>
      <x:c r="R28" s="14"/>
      <x:c r="S28" s="36" t="str">
        <x:f>IF(COUNT(J28:M28)&lt;4,"",SUM(J28:M28))</x:f>
      </x:c>
      <x:c r="T28" s="38" t="str">
        <x:f>IF(OR(S28="",I28="",I28&lt;=0),"",S28/I28)</x:f>
      </x:c>
      <x:c r="U28" s="38" t="str">
        <x:f>IF(OR(L28="",I28="",I28&lt;=0),"",L28/I28)</x:f>
      </x:c>
      <x:c r="V28" s="38" t="str">
        <x:f>IF(OR(M28="",I28="",I28&lt;=0),"",M28/I28)</x:f>
      </x:c>
      <x:c r="W28" s="38" t="str">
        <x:f>IF(OR(N28="",I28="",I28&lt;=0),"",N28/I28)</x:f>
      </x:c>
      <x:c r="X28" s="38" t="str">
        <x:f>IF(OR(O28="",F28="",F28&lt;=0),"",O28/F28)</x:f>
      </x:c>
      <x:c r="Y28" s="40" t="str">
        <x:f>IF(OR(A28="",B28=""),"",B28-A28)</x:f>
      </x:c>
      <x:c r="Z28" s="8" t="str">
        <x:f>IF(COUNTA(A28:R28)=0,"",IF(OR(A28="",B28="",C28="",G28="",H28=""),"INCOMPLETO",IF(B28&lt;A28,"DATA INVÁLIDA",IF(AND(G28="7d",OR(Y28&lt;7,Y28&gt;10)),"FORA DA JANELA",IF(AND(G28="30d",OR(Y28&lt;30,Y28&gt;35)),"FORA DA JANELA",IF(COUNTIFS($C$2:$C$201,C28,$G$2:$G$201,G28)&gt;1,"DUPLICADO","OK"))))))</x:f>
      </x:c>
      <x:c r="AA28" s="44" t="n">
        <x:f>IF(ISNUMBER(H28),1,0)</x:f>
        <x:v>0</x:v>
      </x:c>
      <x:c r="AB28" s="44" t="n">
        <x:f>IF(ISNUMBER(I28),1,0)</x:f>
        <x:v>0</x:v>
      </x:c>
      <x:c r="AC28" s="44" t="n">
        <x:f>IF(ISNUMBER(T28),1,0)</x:f>
        <x:v>0</x:v>
      </x:c>
      <x:c r="AD28" s="44" t="n">
        <x:f>IF(ISNUMBER(U28),1,0)</x:f>
        <x:v>0</x:v>
      </x:c>
      <x:c r="AE28" s="44" t="n">
        <x:f>IF(ISNUMBER(V28),1,0)</x:f>
        <x:v>0</x:v>
      </x:c>
      <x:c r="AF28" s="44" t="n">
        <x:f>IF(ISNUMBER(W28),1,0)</x:f>
        <x:v>0</x:v>
      </x:c>
      <x:c r="AG28" s="44" t="n">
        <x:f>IF(ISNUMBER(X28),1,0)</x:f>
        <x:v>0</x:v>
      </x:c>
      <x:c r="AH28" s="44" t="n">
        <x:f>IF(ISNUMBER(P28),1,0)</x:f>
        <x:v>0</x:v>
      </x:c>
      <x:c r="AI28" s="44" t="n">
        <x:f>IF(ISNUMBER(O28),1,0)</x:f>
        <x:v>0</x:v>
      </x:c>
    </x:row>
    <x:row r="29" ht="22" customHeight="1">
      <x:c r="A29" s="26"/>
      <x:c r="B29" s="26"/>
      <x:c r="C29" s="14"/>
      <x:c r="D29" s="14"/>
      <x:c r="E29" s="14"/>
      <x:c r="F29" s="28"/>
      <x:c r="G29" s="14"/>
      <x:c r="H29" s="30"/>
      <x:c r="I29" s="30"/>
      <x:c r="J29" s="30"/>
      <x:c r="K29" s="30"/>
      <x:c r="L29" s="30"/>
      <x:c r="M29" s="30"/>
      <x:c r="N29" s="30"/>
      <x:c r="O29" s="32"/>
      <x:c r="P29" s="34"/>
      <x:c r="Q29" s="14"/>
      <x:c r="R29" s="14"/>
      <x:c r="S29" s="36" t="str">
        <x:f>IF(COUNT(J29:M29)&lt;4,"",SUM(J29:M29))</x:f>
      </x:c>
      <x:c r="T29" s="38" t="str">
        <x:f>IF(OR(S29="",I29="",I29&lt;=0),"",S29/I29)</x:f>
      </x:c>
      <x:c r="U29" s="38" t="str">
        <x:f>IF(OR(L29="",I29="",I29&lt;=0),"",L29/I29)</x:f>
      </x:c>
      <x:c r="V29" s="38" t="str">
        <x:f>IF(OR(M29="",I29="",I29&lt;=0),"",M29/I29)</x:f>
      </x:c>
      <x:c r="W29" s="38" t="str">
        <x:f>IF(OR(N29="",I29="",I29&lt;=0),"",N29/I29)</x:f>
      </x:c>
      <x:c r="X29" s="38" t="str">
        <x:f>IF(OR(O29="",F29="",F29&lt;=0),"",O29/F29)</x:f>
      </x:c>
      <x:c r="Y29" s="40" t="str">
        <x:f>IF(OR(A29="",B29=""),"",B29-A29)</x:f>
      </x:c>
      <x:c r="Z29" s="8" t="str">
        <x:f>IF(COUNTA(A29:R29)=0,"",IF(OR(A29="",B29="",C29="",G29="",H29=""),"INCOMPLETO",IF(B29&lt;A29,"DATA INVÁLIDA",IF(AND(G29="7d",OR(Y29&lt;7,Y29&gt;10)),"FORA DA JANELA",IF(AND(G29="30d",OR(Y29&lt;30,Y29&gt;35)),"FORA DA JANELA",IF(COUNTIFS($C$2:$C$201,C29,$G$2:$G$201,G29)&gt;1,"DUPLICADO","OK"))))))</x:f>
      </x:c>
      <x:c r="AA29" s="44" t="n">
        <x:f>IF(ISNUMBER(H29),1,0)</x:f>
        <x:v>0</x:v>
      </x:c>
      <x:c r="AB29" s="44" t="n">
        <x:f>IF(ISNUMBER(I29),1,0)</x:f>
        <x:v>0</x:v>
      </x:c>
      <x:c r="AC29" s="44" t="n">
        <x:f>IF(ISNUMBER(T29),1,0)</x:f>
        <x:v>0</x:v>
      </x:c>
      <x:c r="AD29" s="44" t="n">
        <x:f>IF(ISNUMBER(U29),1,0)</x:f>
        <x:v>0</x:v>
      </x:c>
      <x:c r="AE29" s="44" t="n">
        <x:f>IF(ISNUMBER(V29),1,0)</x:f>
        <x:v>0</x:v>
      </x:c>
      <x:c r="AF29" s="44" t="n">
        <x:f>IF(ISNUMBER(W29),1,0)</x:f>
        <x:v>0</x:v>
      </x:c>
      <x:c r="AG29" s="44" t="n">
        <x:f>IF(ISNUMBER(X29),1,0)</x:f>
        <x:v>0</x:v>
      </x:c>
      <x:c r="AH29" s="44" t="n">
        <x:f>IF(ISNUMBER(P29),1,0)</x:f>
        <x:v>0</x:v>
      </x:c>
      <x:c r="AI29" s="44" t="n">
        <x:f>IF(ISNUMBER(O29),1,0)</x:f>
        <x:v>0</x:v>
      </x:c>
    </x:row>
    <x:row r="30" ht="22" customHeight="1">
      <x:c r="A30" s="26"/>
      <x:c r="B30" s="26"/>
      <x:c r="C30" s="14"/>
      <x:c r="D30" s="14"/>
      <x:c r="E30" s="14"/>
      <x:c r="F30" s="28"/>
      <x:c r="G30" s="14"/>
      <x:c r="H30" s="30"/>
      <x:c r="I30" s="30"/>
      <x:c r="J30" s="30"/>
      <x:c r="K30" s="30"/>
      <x:c r="L30" s="30"/>
      <x:c r="M30" s="30"/>
      <x:c r="N30" s="30"/>
      <x:c r="O30" s="32"/>
      <x:c r="P30" s="34"/>
      <x:c r="Q30" s="14"/>
      <x:c r="R30" s="14"/>
      <x:c r="S30" s="36" t="str">
        <x:f>IF(COUNT(J30:M30)&lt;4,"",SUM(J30:M30))</x:f>
      </x:c>
      <x:c r="T30" s="38" t="str">
        <x:f>IF(OR(S30="",I30="",I30&lt;=0),"",S30/I30)</x:f>
      </x:c>
      <x:c r="U30" s="38" t="str">
        <x:f>IF(OR(L30="",I30="",I30&lt;=0),"",L30/I30)</x:f>
      </x:c>
      <x:c r="V30" s="38" t="str">
        <x:f>IF(OR(M30="",I30="",I30&lt;=0),"",M30/I30)</x:f>
      </x:c>
      <x:c r="W30" s="38" t="str">
        <x:f>IF(OR(N30="",I30="",I30&lt;=0),"",N30/I30)</x:f>
      </x:c>
      <x:c r="X30" s="38" t="str">
        <x:f>IF(OR(O30="",F30="",F30&lt;=0),"",O30/F30)</x:f>
      </x:c>
      <x:c r="Y30" s="40" t="str">
        <x:f>IF(OR(A30="",B30=""),"",B30-A30)</x:f>
      </x:c>
      <x:c r="Z30" s="8" t="str">
        <x:f>IF(COUNTA(A30:R30)=0,"",IF(OR(A30="",B30="",C30="",G30="",H30=""),"INCOMPLETO",IF(B30&lt;A30,"DATA INVÁLIDA",IF(AND(G30="7d",OR(Y30&lt;7,Y30&gt;10)),"FORA DA JANELA",IF(AND(G30="30d",OR(Y30&lt;30,Y30&gt;35)),"FORA DA JANELA",IF(COUNTIFS($C$2:$C$201,C30,$G$2:$G$201,G30)&gt;1,"DUPLICADO","OK"))))))</x:f>
      </x:c>
      <x:c r="AA30" s="44" t="n">
        <x:f>IF(ISNUMBER(H30),1,0)</x:f>
        <x:v>0</x:v>
      </x:c>
      <x:c r="AB30" s="44" t="n">
        <x:f>IF(ISNUMBER(I30),1,0)</x:f>
        <x:v>0</x:v>
      </x:c>
      <x:c r="AC30" s="44" t="n">
        <x:f>IF(ISNUMBER(T30),1,0)</x:f>
        <x:v>0</x:v>
      </x:c>
      <x:c r="AD30" s="44" t="n">
        <x:f>IF(ISNUMBER(U30),1,0)</x:f>
        <x:v>0</x:v>
      </x:c>
      <x:c r="AE30" s="44" t="n">
        <x:f>IF(ISNUMBER(V30),1,0)</x:f>
        <x:v>0</x:v>
      </x:c>
      <x:c r="AF30" s="44" t="n">
        <x:f>IF(ISNUMBER(W30),1,0)</x:f>
        <x:v>0</x:v>
      </x:c>
      <x:c r="AG30" s="44" t="n">
        <x:f>IF(ISNUMBER(X30),1,0)</x:f>
        <x:v>0</x:v>
      </x:c>
      <x:c r="AH30" s="44" t="n">
        <x:f>IF(ISNUMBER(P30),1,0)</x:f>
        <x:v>0</x:v>
      </x:c>
      <x:c r="AI30" s="44" t="n">
        <x:f>IF(ISNUMBER(O30),1,0)</x:f>
        <x:v>0</x:v>
      </x:c>
    </x:row>
    <x:row r="31" ht="22" customHeight="1">
      <x:c r="A31" s="26"/>
      <x:c r="B31" s="26"/>
      <x:c r="C31" s="14"/>
      <x:c r="D31" s="14"/>
      <x:c r="E31" s="14"/>
      <x:c r="F31" s="28"/>
      <x:c r="G31" s="14"/>
      <x:c r="H31" s="30"/>
      <x:c r="I31" s="30"/>
      <x:c r="J31" s="30"/>
      <x:c r="K31" s="30"/>
      <x:c r="L31" s="30"/>
      <x:c r="M31" s="30"/>
      <x:c r="N31" s="30"/>
      <x:c r="O31" s="32"/>
      <x:c r="P31" s="34"/>
      <x:c r="Q31" s="14"/>
      <x:c r="R31" s="14"/>
      <x:c r="S31" s="36" t="str">
        <x:f>IF(COUNT(J31:M31)&lt;4,"",SUM(J31:M31))</x:f>
      </x:c>
      <x:c r="T31" s="38" t="str">
        <x:f>IF(OR(S31="",I31="",I31&lt;=0),"",S31/I31)</x:f>
      </x:c>
      <x:c r="U31" s="38" t="str">
        <x:f>IF(OR(L31="",I31="",I31&lt;=0),"",L31/I31)</x:f>
      </x:c>
      <x:c r="V31" s="38" t="str">
        <x:f>IF(OR(M31="",I31="",I31&lt;=0),"",M31/I31)</x:f>
      </x:c>
      <x:c r="W31" s="38" t="str">
        <x:f>IF(OR(N31="",I31="",I31&lt;=0),"",N31/I31)</x:f>
      </x:c>
      <x:c r="X31" s="38" t="str">
        <x:f>IF(OR(O31="",F31="",F31&lt;=0),"",O31/F31)</x:f>
      </x:c>
      <x:c r="Y31" s="40" t="str">
        <x:f>IF(OR(A31="",B31=""),"",B31-A31)</x:f>
      </x:c>
      <x:c r="Z31" s="8" t="str">
        <x:f>IF(COUNTA(A31:R31)=0,"",IF(OR(A31="",B31="",C31="",G31="",H31=""),"INCOMPLETO",IF(B31&lt;A31,"DATA INVÁLIDA",IF(AND(G31="7d",OR(Y31&lt;7,Y31&gt;10)),"FORA DA JANELA",IF(AND(G31="30d",OR(Y31&lt;30,Y31&gt;35)),"FORA DA JANELA",IF(COUNTIFS($C$2:$C$201,C31,$G$2:$G$201,G31)&gt;1,"DUPLICADO","OK"))))))</x:f>
      </x:c>
      <x:c r="AA31" s="44" t="n">
        <x:f>IF(ISNUMBER(H31),1,0)</x:f>
        <x:v>0</x:v>
      </x:c>
      <x:c r="AB31" s="44" t="n">
        <x:f>IF(ISNUMBER(I31),1,0)</x:f>
        <x:v>0</x:v>
      </x:c>
      <x:c r="AC31" s="44" t="n">
        <x:f>IF(ISNUMBER(T31),1,0)</x:f>
        <x:v>0</x:v>
      </x:c>
      <x:c r="AD31" s="44" t="n">
        <x:f>IF(ISNUMBER(U31),1,0)</x:f>
        <x:v>0</x:v>
      </x:c>
      <x:c r="AE31" s="44" t="n">
        <x:f>IF(ISNUMBER(V31),1,0)</x:f>
        <x:v>0</x:v>
      </x:c>
      <x:c r="AF31" s="44" t="n">
        <x:f>IF(ISNUMBER(W31),1,0)</x:f>
        <x:v>0</x:v>
      </x:c>
      <x:c r="AG31" s="44" t="n">
        <x:f>IF(ISNUMBER(X31),1,0)</x:f>
        <x:v>0</x:v>
      </x:c>
      <x:c r="AH31" s="44" t="n">
        <x:f>IF(ISNUMBER(P31),1,0)</x:f>
        <x:v>0</x:v>
      </x:c>
      <x:c r="AI31" s="44" t="n">
        <x:f>IF(ISNUMBER(O31),1,0)</x:f>
        <x:v>0</x:v>
      </x:c>
    </x:row>
    <x:row r="32" ht="22" customHeight="1">
      <x:c r="A32" s="26"/>
      <x:c r="B32" s="26"/>
      <x:c r="C32" s="14"/>
      <x:c r="D32" s="14"/>
      <x:c r="E32" s="14"/>
      <x:c r="F32" s="28"/>
      <x:c r="G32" s="14"/>
      <x:c r="H32" s="30"/>
      <x:c r="I32" s="30"/>
      <x:c r="J32" s="30"/>
      <x:c r="K32" s="30"/>
      <x:c r="L32" s="30"/>
      <x:c r="M32" s="30"/>
      <x:c r="N32" s="30"/>
      <x:c r="O32" s="32"/>
      <x:c r="P32" s="34"/>
      <x:c r="Q32" s="14"/>
      <x:c r="R32" s="14"/>
      <x:c r="S32" s="36" t="str">
        <x:f>IF(COUNT(J32:M32)&lt;4,"",SUM(J32:M32))</x:f>
      </x:c>
      <x:c r="T32" s="38" t="str">
        <x:f>IF(OR(S32="",I32="",I32&lt;=0),"",S32/I32)</x:f>
      </x:c>
      <x:c r="U32" s="38" t="str">
        <x:f>IF(OR(L32="",I32="",I32&lt;=0),"",L32/I32)</x:f>
      </x:c>
      <x:c r="V32" s="38" t="str">
        <x:f>IF(OR(M32="",I32="",I32&lt;=0),"",M32/I32)</x:f>
      </x:c>
      <x:c r="W32" s="38" t="str">
        <x:f>IF(OR(N32="",I32="",I32&lt;=0),"",N32/I32)</x:f>
      </x:c>
      <x:c r="X32" s="38" t="str">
        <x:f>IF(OR(O32="",F32="",F32&lt;=0),"",O32/F32)</x:f>
      </x:c>
      <x:c r="Y32" s="40" t="str">
        <x:f>IF(OR(A32="",B32=""),"",B32-A32)</x:f>
      </x:c>
      <x:c r="Z32" s="8" t="str">
        <x:f>IF(COUNTA(A32:R32)=0,"",IF(OR(A32="",B32="",C32="",G32="",H32=""),"INCOMPLETO",IF(B32&lt;A32,"DATA INVÁLIDA",IF(AND(G32="7d",OR(Y32&lt;7,Y32&gt;10)),"FORA DA JANELA",IF(AND(G32="30d",OR(Y32&lt;30,Y32&gt;35)),"FORA DA JANELA",IF(COUNTIFS($C$2:$C$201,C32,$G$2:$G$201,G32)&gt;1,"DUPLICADO","OK"))))))</x:f>
      </x:c>
      <x:c r="AA32" s="44" t="n">
        <x:f>IF(ISNUMBER(H32),1,0)</x:f>
        <x:v>0</x:v>
      </x:c>
      <x:c r="AB32" s="44" t="n">
        <x:f>IF(ISNUMBER(I32),1,0)</x:f>
        <x:v>0</x:v>
      </x:c>
      <x:c r="AC32" s="44" t="n">
        <x:f>IF(ISNUMBER(T32),1,0)</x:f>
        <x:v>0</x:v>
      </x:c>
      <x:c r="AD32" s="44" t="n">
        <x:f>IF(ISNUMBER(U32),1,0)</x:f>
        <x:v>0</x:v>
      </x:c>
      <x:c r="AE32" s="44" t="n">
        <x:f>IF(ISNUMBER(V32),1,0)</x:f>
        <x:v>0</x:v>
      </x:c>
      <x:c r="AF32" s="44" t="n">
        <x:f>IF(ISNUMBER(W32),1,0)</x:f>
        <x:v>0</x:v>
      </x:c>
      <x:c r="AG32" s="44" t="n">
        <x:f>IF(ISNUMBER(X32),1,0)</x:f>
        <x:v>0</x:v>
      </x:c>
      <x:c r="AH32" s="44" t="n">
        <x:f>IF(ISNUMBER(P32),1,0)</x:f>
        <x:v>0</x:v>
      </x:c>
      <x:c r="AI32" s="44" t="n">
        <x:f>IF(ISNUMBER(O32),1,0)</x:f>
        <x:v>0</x:v>
      </x:c>
    </x:row>
    <x:row r="33" ht="22" customHeight="1">
      <x:c r="A33" s="26"/>
      <x:c r="B33" s="26"/>
      <x:c r="C33" s="14"/>
      <x:c r="D33" s="14"/>
      <x:c r="E33" s="14"/>
      <x:c r="F33" s="28"/>
      <x:c r="G33" s="14"/>
      <x:c r="H33" s="30"/>
      <x:c r="I33" s="30"/>
      <x:c r="J33" s="30"/>
      <x:c r="K33" s="30"/>
      <x:c r="L33" s="30"/>
      <x:c r="M33" s="30"/>
      <x:c r="N33" s="30"/>
      <x:c r="O33" s="32"/>
      <x:c r="P33" s="34"/>
      <x:c r="Q33" s="14"/>
      <x:c r="R33" s="14"/>
      <x:c r="S33" s="36" t="str">
        <x:f>IF(COUNT(J33:M33)&lt;4,"",SUM(J33:M33))</x:f>
      </x:c>
      <x:c r="T33" s="38" t="str">
        <x:f>IF(OR(S33="",I33="",I33&lt;=0),"",S33/I33)</x:f>
      </x:c>
      <x:c r="U33" s="38" t="str">
        <x:f>IF(OR(L33="",I33="",I33&lt;=0),"",L33/I33)</x:f>
      </x:c>
      <x:c r="V33" s="38" t="str">
        <x:f>IF(OR(M33="",I33="",I33&lt;=0),"",M33/I33)</x:f>
      </x:c>
      <x:c r="W33" s="38" t="str">
        <x:f>IF(OR(N33="",I33="",I33&lt;=0),"",N33/I33)</x:f>
      </x:c>
      <x:c r="X33" s="38" t="str">
        <x:f>IF(OR(O33="",F33="",F33&lt;=0),"",O33/F33)</x:f>
      </x:c>
      <x:c r="Y33" s="40" t="str">
        <x:f>IF(OR(A33="",B33=""),"",B33-A33)</x:f>
      </x:c>
      <x:c r="Z33" s="8" t="str">
        <x:f>IF(COUNTA(A33:R33)=0,"",IF(OR(A33="",B33="",C33="",G33="",H33=""),"INCOMPLETO",IF(B33&lt;A33,"DATA INVÁLIDA",IF(AND(G33="7d",OR(Y33&lt;7,Y33&gt;10)),"FORA DA JANELA",IF(AND(G33="30d",OR(Y33&lt;30,Y33&gt;35)),"FORA DA JANELA",IF(COUNTIFS($C$2:$C$201,C33,$G$2:$G$201,G33)&gt;1,"DUPLICADO","OK"))))))</x:f>
      </x:c>
      <x:c r="AA33" s="44" t="n">
        <x:f>IF(ISNUMBER(H33),1,0)</x:f>
        <x:v>0</x:v>
      </x:c>
      <x:c r="AB33" s="44" t="n">
        <x:f>IF(ISNUMBER(I33),1,0)</x:f>
        <x:v>0</x:v>
      </x:c>
      <x:c r="AC33" s="44" t="n">
        <x:f>IF(ISNUMBER(T33),1,0)</x:f>
        <x:v>0</x:v>
      </x:c>
      <x:c r="AD33" s="44" t="n">
        <x:f>IF(ISNUMBER(U33),1,0)</x:f>
        <x:v>0</x:v>
      </x:c>
      <x:c r="AE33" s="44" t="n">
        <x:f>IF(ISNUMBER(V33),1,0)</x:f>
        <x:v>0</x:v>
      </x:c>
      <x:c r="AF33" s="44" t="n">
        <x:f>IF(ISNUMBER(W33),1,0)</x:f>
        <x:v>0</x:v>
      </x:c>
      <x:c r="AG33" s="44" t="n">
        <x:f>IF(ISNUMBER(X33),1,0)</x:f>
        <x:v>0</x:v>
      </x:c>
      <x:c r="AH33" s="44" t="n">
        <x:f>IF(ISNUMBER(P33),1,0)</x:f>
        <x:v>0</x:v>
      </x:c>
      <x:c r="AI33" s="44" t="n">
        <x:f>IF(ISNUMBER(O33),1,0)</x:f>
        <x:v>0</x:v>
      </x:c>
    </x:row>
    <x:row r="34" ht="22" customHeight="1">
      <x:c r="A34" s="26"/>
      <x:c r="B34" s="26"/>
      <x:c r="C34" s="14"/>
      <x:c r="D34" s="14"/>
      <x:c r="E34" s="14"/>
      <x:c r="F34" s="28"/>
      <x:c r="G34" s="14"/>
      <x:c r="H34" s="30"/>
      <x:c r="I34" s="30"/>
      <x:c r="J34" s="30"/>
      <x:c r="K34" s="30"/>
      <x:c r="L34" s="30"/>
      <x:c r="M34" s="30"/>
      <x:c r="N34" s="30"/>
      <x:c r="O34" s="32"/>
      <x:c r="P34" s="34"/>
      <x:c r="Q34" s="14"/>
      <x:c r="R34" s="14"/>
      <x:c r="S34" s="36" t="str">
        <x:f>IF(COUNT(J34:M34)&lt;4,"",SUM(J34:M34))</x:f>
      </x:c>
      <x:c r="T34" s="38" t="str">
        <x:f>IF(OR(S34="",I34="",I34&lt;=0),"",S34/I34)</x:f>
      </x:c>
      <x:c r="U34" s="38" t="str">
        <x:f>IF(OR(L34="",I34="",I34&lt;=0),"",L34/I34)</x:f>
      </x:c>
      <x:c r="V34" s="38" t="str">
        <x:f>IF(OR(M34="",I34="",I34&lt;=0),"",M34/I34)</x:f>
      </x:c>
      <x:c r="W34" s="38" t="str">
        <x:f>IF(OR(N34="",I34="",I34&lt;=0),"",N34/I34)</x:f>
      </x:c>
      <x:c r="X34" s="38" t="str">
        <x:f>IF(OR(O34="",F34="",F34&lt;=0),"",O34/F34)</x:f>
      </x:c>
      <x:c r="Y34" s="40" t="str">
        <x:f>IF(OR(A34="",B34=""),"",B34-A34)</x:f>
      </x:c>
      <x:c r="Z34" s="8" t="str">
        <x:f>IF(COUNTA(A34:R34)=0,"",IF(OR(A34="",B34="",C34="",G34="",H34=""),"INCOMPLETO",IF(B34&lt;A34,"DATA INVÁLIDA",IF(AND(G34="7d",OR(Y34&lt;7,Y34&gt;10)),"FORA DA JANELA",IF(AND(G34="30d",OR(Y34&lt;30,Y34&gt;35)),"FORA DA JANELA",IF(COUNTIFS($C$2:$C$201,C34,$G$2:$G$201,G34)&gt;1,"DUPLICADO","OK"))))))</x:f>
      </x:c>
      <x:c r="AA34" s="44" t="n">
        <x:f>IF(ISNUMBER(H34),1,0)</x:f>
        <x:v>0</x:v>
      </x:c>
      <x:c r="AB34" s="44" t="n">
        <x:f>IF(ISNUMBER(I34),1,0)</x:f>
        <x:v>0</x:v>
      </x:c>
      <x:c r="AC34" s="44" t="n">
        <x:f>IF(ISNUMBER(T34),1,0)</x:f>
        <x:v>0</x:v>
      </x:c>
      <x:c r="AD34" s="44" t="n">
        <x:f>IF(ISNUMBER(U34),1,0)</x:f>
        <x:v>0</x:v>
      </x:c>
      <x:c r="AE34" s="44" t="n">
        <x:f>IF(ISNUMBER(V34),1,0)</x:f>
        <x:v>0</x:v>
      </x:c>
      <x:c r="AF34" s="44" t="n">
        <x:f>IF(ISNUMBER(W34),1,0)</x:f>
        <x:v>0</x:v>
      </x:c>
      <x:c r="AG34" s="44" t="n">
        <x:f>IF(ISNUMBER(X34),1,0)</x:f>
        <x:v>0</x:v>
      </x:c>
      <x:c r="AH34" s="44" t="n">
        <x:f>IF(ISNUMBER(P34),1,0)</x:f>
        <x:v>0</x:v>
      </x:c>
      <x:c r="AI34" s="44" t="n">
        <x:f>IF(ISNUMBER(O34),1,0)</x:f>
        <x:v>0</x:v>
      </x:c>
    </x:row>
    <x:row r="35" ht="22" customHeight="1">
      <x:c r="A35" s="26"/>
      <x:c r="B35" s="26"/>
      <x:c r="C35" s="14"/>
      <x:c r="D35" s="14"/>
      <x:c r="E35" s="14"/>
      <x:c r="F35" s="28"/>
      <x:c r="G35" s="14"/>
      <x:c r="H35" s="30"/>
      <x:c r="I35" s="30"/>
      <x:c r="J35" s="30"/>
      <x:c r="K35" s="30"/>
      <x:c r="L35" s="30"/>
      <x:c r="M35" s="30"/>
      <x:c r="N35" s="30"/>
      <x:c r="O35" s="32"/>
      <x:c r="P35" s="34"/>
      <x:c r="Q35" s="14"/>
      <x:c r="R35" s="14"/>
      <x:c r="S35" s="36" t="str">
        <x:f>IF(COUNT(J35:M35)&lt;4,"",SUM(J35:M35))</x:f>
      </x:c>
      <x:c r="T35" s="38" t="str">
        <x:f>IF(OR(S35="",I35="",I35&lt;=0),"",S35/I35)</x:f>
      </x:c>
      <x:c r="U35" s="38" t="str">
        <x:f>IF(OR(L35="",I35="",I35&lt;=0),"",L35/I35)</x:f>
      </x:c>
      <x:c r="V35" s="38" t="str">
        <x:f>IF(OR(M35="",I35="",I35&lt;=0),"",M35/I35)</x:f>
      </x:c>
      <x:c r="W35" s="38" t="str">
        <x:f>IF(OR(N35="",I35="",I35&lt;=0),"",N35/I35)</x:f>
      </x:c>
      <x:c r="X35" s="38" t="str">
        <x:f>IF(OR(O35="",F35="",F35&lt;=0),"",O35/F35)</x:f>
      </x:c>
      <x:c r="Y35" s="40" t="str">
        <x:f>IF(OR(A35="",B35=""),"",B35-A35)</x:f>
      </x:c>
      <x:c r="Z35" s="8" t="str">
        <x:f>IF(COUNTA(A35:R35)=0,"",IF(OR(A35="",B35="",C35="",G35="",H35=""),"INCOMPLETO",IF(B35&lt;A35,"DATA INVÁLIDA",IF(AND(G35="7d",OR(Y35&lt;7,Y35&gt;10)),"FORA DA JANELA",IF(AND(G35="30d",OR(Y35&lt;30,Y35&gt;35)),"FORA DA JANELA",IF(COUNTIFS($C$2:$C$201,C35,$G$2:$G$201,G35)&gt;1,"DUPLICADO","OK"))))))</x:f>
      </x:c>
      <x:c r="AA35" s="44" t="n">
        <x:f>IF(ISNUMBER(H35),1,0)</x:f>
        <x:v>0</x:v>
      </x:c>
      <x:c r="AB35" s="44" t="n">
        <x:f>IF(ISNUMBER(I35),1,0)</x:f>
        <x:v>0</x:v>
      </x:c>
      <x:c r="AC35" s="44" t="n">
        <x:f>IF(ISNUMBER(T35),1,0)</x:f>
        <x:v>0</x:v>
      </x:c>
      <x:c r="AD35" s="44" t="n">
        <x:f>IF(ISNUMBER(U35),1,0)</x:f>
        <x:v>0</x:v>
      </x:c>
      <x:c r="AE35" s="44" t="n">
        <x:f>IF(ISNUMBER(V35),1,0)</x:f>
        <x:v>0</x:v>
      </x:c>
      <x:c r="AF35" s="44" t="n">
        <x:f>IF(ISNUMBER(W35),1,0)</x:f>
        <x:v>0</x:v>
      </x:c>
      <x:c r="AG35" s="44" t="n">
        <x:f>IF(ISNUMBER(X35),1,0)</x:f>
        <x:v>0</x:v>
      </x:c>
      <x:c r="AH35" s="44" t="n">
        <x:f>IF(ISNUMBER(P35),1,0)</x:f>
        <x:v>0</x:v>
      </x:c>
      <x:c r="AI35" s="44" t="n">
        <x:f>IF(ISNUMBER(O35),1,0)</x:f>
        <x:v>0</x:v>
      </x:c>
    </x:row>
    <x:row r="36" ht="22" customHeight="1">
      <x:c r="A36" s="26"/>
      <x:c r="B36" s="26"/>
      <x:c r="C36" s="14"/>
      <x:c r="D36" s="14"/>
      <x:c r="E36" s="14"/>
      <x:c r="F36" s="28"/>
      <x:c r="G36" s="14"/>
      <x:c r="H36" s="30"/>
      <x:c r="I36" s="30"/>
      <x:c r="J36" s="30"/>
      <x:c r="K36" s="30"/>
      <x:c r="L36" s="30"/>
      <x:c r="M36" s="30"/>
      <x:c r="N36" s="30"/>
      <x:c r="O36" s="32"/>
      <x:c r="P36" s="34"/>
      <x:c r="Q36" s="14"/>
      <x:c r="R36" s="14"/>
      <x:c r="S36" s="36" t="str">
        <x:f>IF(COUNT(J36:M36)&lt;4,"",SUM(J36:M36))</x:f>
      </x:c>
      <x:c r="T36" s="38" t="str">
        <x:f>IF(OR(S36="",I36="",I36&lt;=0),"",S36/I36)</x:f>
      </x:c>
      <x:c r="U36" s="38" t="str">
        <x:f>IF(OR(L36="",I36="",I36&lt;=0),"",L36/I36)</x:f>
      </x:c>
      <x:c r="V36" s="38" t="str">
        <x:f>IF(OR(M36="",I36="",I36&lt;=0),"",M36/I36)</x:f>
      </x:c>
      <x:c r="W36" s="38" t="str">
        <x:f>IF(OR(N36="",I36="",I36&lt;=0),"",N36/I36)</x:f>
      </x:c>
      <x:c r="X36" s="38" t="str">
        <x:f>IF(OR(O36="",F36="",F36&lt;=0),"",O36/F36)</x:f>
      </x:c>
      <x:c r="Y36" s="40" t="str">
        <x:f>IF(OR(A36="",B36=""),"",B36-A36)</x:f>
      </x:c>
      <x:c r="Z36" s="8" t="str">
        <x:f>IF(COUNTA(A36:R36)=0,"",IF(OR(A36="",B36="",C36="",G36="",H36=""),"INCOMPLETO",IF(B36&lt;A36,"DATA INVÁLIDA",IF(AND(G36="7d",OR(Y36&lt;7,Y36&gt;10)),"FORA DA JANELA",IF(AND(G36="30d",OR(Y36&lt;30,Y36&gt;35)),"FORA DA JANELA",IF(COUNTIFS($C$2:$C$201,C36,$G$2:$G$201,G36)&gt;1,"DUPLICADO","OK"))))))</x:f>
      </x:c>
      <x:c r="AA36" s="44" t="n">
        <x:f>IF(ISNUMBER(H36),1,0)</x:f>
        <x:v>0</x:v>
      </x:c>
      <x:c r="AB36" s="44" t="n">
        <x:f>IF(ISNUMBER(I36),1,0)</x:f>
        <x:v>0</x:v>
      </x:c>
      <x:c r="AC36" s="44" t="n">
        <x:f>IF(ISNUMBER(T36),1,0)</x:f>
        <x:v>0</x:v>
      </x:c>
      <x:c r="AD36" s="44" t="n">
        <x:f>IF(ISNUMBER(U36),1,0)</x:f>
        <x:v>0</x:v>
      </x:c>
      <x:c r="AE36" s="44" t="n">
        <x:f>IF(ISNUMBER(V36),1,0)</x:f>
        <x:v>0</x:v>
      </x:c>
      <x:c r="AF36" s="44" t="n">
        <x:f>IF(ISNUMBER(W36),1,0)</x:f>
        <x:v>0</x:v>
      </x:c>
      <x:c r="AG36" s="44" t="n">
        <x:f>IF(ISNUMBER(X36),1,0)</x:f>
        <x:v>0</x:v>
      </x:c>
      <x:c r="AH36" s="44" t="n">
        <x:f>IF(ISNUMBER(P36),1,0)</x:f>
        <x:v>0</x:v>
      </x:c>
      <x:c r="AI36" s="44" t="n">
        <x:f>IF(ISNUMBER(O36),1,0)</x:f>
        <x:v>0</x:v>
      </x:c>
    </x:row>
    <x:row r="37" ht="22" customHeight="1">
      <x:c r="A37" s="26"/>
      <x:c r="B37" s="26"/>
      <x:c r="C37" s="14"/>
      <x:c r="D37" s="14"/>
      <x:c r="E37" s="14"/>
      <x:c r="F37" s="28"/>
      <x:c r="G37" s="14"/>
      <x:c r="H37" s="30"/>
      <x:c r="I37" s="30"/>
      <x:c r="J37" s="30"/>
      <x:c r="K37" s="30"/>
      <x:c r="L37" s="30"/>
      <x:c r="M37" s="30"/>
      <x:c r="N37" s="30"/>
      <x:c r="O37" s="32"/>
      <x:c r="P37" s="34"/>
      <x:c r="Q37" s="14"/>
      <x:c r="R37" s="14"/>
      <x:c r="S37" s="36" t="str">
        <x:f>IF(COUNT(J37:M37)&lt;4,"",SUM(J37:M37))</x:f>
      </x:c>
      <x:c r="T37" s="38" t="str">
        <x:f>IF(OR(S37="",I37="",I37&lt;=0),"",S37/I37)</x:f>
      </x:c>
      <x:c r="U37" s="38" t="str">
        <x:f>IF(OR(L37="",I37="",I37&lt;=0),"",L37/I37)</x:f>
      </x:c>
      <x:c r="V37" s="38" t="str">
        <x:f>IF(OR(M37="",I37="",I37&lt;=0),"",M37/I37)</x:f>
      </x:c>
      <x:c r="W37" s="38" t="str">
        <x:f>IF(OR(N37="",I37="",I37&lt;=0),"",N37/I37)</x:f>
      </x:c>
      <x:c r="X37" s="38" t="str">
        <x:f>IF(OR(O37="",F37="",F37&lt;=0),"",O37/F37)</x:f>
      </x:c>
      <x:c r="Y37" s="40" t="str">
        <x:f>IF(OR(A37="",B37=""),"",B37-A37)</x:f>
      </x:c>
      <x:c r="Z37" s="8" t="str">
        <x:f>IF(COUNTA(A37:R37)=0,"",IF(OR(A37="",B37="",C37="",G37="",H37=""),"INCOMPLETO",IF(B37&lt;A37,"DATA INVÁLIDA",IF(AND(G37="7d",OR(Y37&lt;7,Y37&gt;10)),"FORA DA JANELA",IF(AND(G37="30d",OR(Y37&lt;30,Y37&gt;35)),"FORA DA JANELA",IF(COUNTIFS($C$2:$C$201,C37,$G$2:$G$201,G37)&gt;1,"DUPLICADO","OK"))))))</x:f>
      </x:c>
      <x:c r="AA37" s="44" t="n">
        <x:f>IF(ISNUMBER(H37),1,0)</x:f>
        <x:v>0</x:v>
      </x:c>
      <x:c r="AB37" s="44" t="n">
        <x:f>IF(ISNUMBER(I37),1,0)</x:f>
        <x:v>0</x:v>
      </x:c>
      <x:c r="AC37" s="44" t="n">
        <x:f>IF(ISNUMBER(T37),1,0)</x:f>
        <x:v>0</x:v>
      </x:c>
      <x:c r="AD37" s="44" t="n">
        <x:f>IF(ISNUMBER(U37),1,0)</x:f>
        <x:v>0</x:v>
      </x:c>
      <x:c r="AE37" s="44" t="n">
        <x:f>IF(ISNUMBER(V37),1,0)</x:f>
        <x:v>0</x:v>
      </x:c>
      <x:c r="AF37" s="44" t="n">
        <x:f>IF(ISNUMBER(W37),1,0)</x:f>
        <x:v>0</x:v>
      </x:c>
      <x:c r="AG37" s="44" t="n">
        <x:f>IF(ISNUMBER(X37),1,0)</x:f>
        <x:v>0</x:v>
      </x:c>
      <x:c r="AH37" s="44" t="n">
        <x:f>IF(ISNUMBER(P37),1,0)</x:f>
        <x:v>0</x:v>
      </x:c>
      <x:c r="AI37" s="44" t="n">
        <x:f>IF(ISNUMBER(O37),1,0)</x:f>
        <x:v>0</x:v>
      </x:c>
    </x:row>
    <x:row r="38" ht="22" customHeight="1">
      <x:c r="A38" s="26"/>
      <x:c r="B38" s="26"/>
      <x:c r="C38" s="14"/>
      <x:c r="D38" s="14"/>
      <x:c r="E38" s="14"/>
      <x:c r="F38" s="28"/>
      <x:c r="G38" s="14"/>
      <x:c r="H38" s="30"/>
      <x:c r="I38" s="30"/>
      <x:c r="J38" s="30"/>
      <x:c r="K38" s="30"/>
      <x:c r="L38" s="30"/>
      <x:c r="M38" s="30"/>
      <x:c r="N38" s="30"/>
      <x:c r="O38" s="32"/>
      <x:c r="P38" s="34"/>
      <x:c r="Q38" s="14"/>
      <x:c r="R38" s="14"/>
      <x:c r="S38" s="36" t="str">
        <x:f>IF(COUNT(J38:M38)&lt;4,"",SUM(J38:M38))</x:f>
      </x:c>
      <x:c r="T38" s="38" t="str">
        <x:f>IF(OR(S38="",I38="",I38&lt;=0),"",S38/I38)</x:f>
      </x:c>
      <x:c r="U38" s="38" t="str">
        <x:f>IF(OR(L38="",I38="",I38&lt;=0),"",L38/I38)</x:f>
      </x:c>
      <x:c r="V38" s="38" t="str">
        <x:f>IF(OR(M38="",I38="",I38&lt;=0),"",M38/I38)</x:f>
      </x:c>
      <x:c r="W38" s="38" t="str">
        <x:f>IF(OR(N38="",I38="",I38&lt;=0),"",N38/I38)</x:f>
      </x:c>
      <x:c r="X38" s="38" t="str">
        <x:f>IF(OR(O38="",F38="",F38&lt;=0),"",O38/F38)</x:f>
      </x:c>
      <x:c r="Y38" s="40" t="str">
        <x:f>IF(OR(A38="",B38=""),"",B38-A38)</x:f>
      </x:c>
      <x:c r="Z38" s="8" t="str">
        <x:f>IF(COUNTA(A38:R38)=0,"",IF(OR(A38="",B38="",C38="",G38="",H38=""),"INCOMPLETO",IF(B38&lt;A38,"DATA INVÁLIDA",IF(AND(G38="7d",OR(Y38&lt;7,Y38&gt;10)),"FORA DA JANELA",IF(AND(G38="30d",OR(Y38&lt;30,Y38&gt;35)),"FORA DA JANELA",IF(COUNTIFS($C$2:$C$201,C38,$G$2:$G$201,G38)&gt;1,"DUPLICADO","OK"))))))</x:f>
      </x:c>
      <x:c r="AA38" s="44" t="n">
        <x:f>IF(ISNUMBER(H38),1,0)</x:f>
        <x:v>0</x:v>
      </x:c>
      <x:c r="AB38" s="44" t="n">
        <x:f>IF(ISNUMBER(I38),1,0)</x:f>
        <x:v>0</x:v>
      </x:c>
      <x:c r="AC38" s="44" t="n">
        <x:f>IF(ISNUMBER(T38),1,0)</x:f>
        <x:v>0</x:v>
      </x:c>
      <x:c r="AD38" s="44" t="n">
        <x:f>IF(ISNUMBER(U38),1,0)</x:f>
        <x:v>0</x:v>
      </x:c>
      <x:c r="AE38" s="44" t="n">
        <x:f>IF(ISNUMBER(V38),1,0)</x:f>
        <x:v>0</x:v>
      </x:c>
      <x:c r="AF38" s="44" t="n">
        <x:f>IF(ISNUMBER(W38),1,0)</x:f>
        <x:v>0</x:v>
      </x:c>
      <x:c r="AG38" s="44" t="n">
        <x:f>IF(ISNUMBER(X38),1,0)</x:f>
        <x:v>0</x:v>
      </x:c>
      <x:c r="AH38" s="44" t="n">
        <x:f>IF(ISNUMBER(P38),1,0)</x:f>
        <x:v>0</x:v>
      </x:c>
      <x:c r="AI38" s="44" t="n">
        <x:f>IF(ISNUMBER(O38),1,0)</x:f>
        <x:v>0</x:v>
      </x:c>
    </x:row>
    <x:row r="39" ht="22" customHeight="1">
      <x:c r="A39" s="26"/>
      <x:c r="B39" s="26"/>
      <x:c r="C39" s="14"/>
      <x:c r="D39" s="14"/>
      <x:c r="E39" s="14"/>
      <x:c r="F39" s="28"/>
      <x:c r="G39" s="14"/>
      <x:c r="H39" s="30"/>
      <x:c r="I39" s="30"/>
      <x:c r="J39" s="30"/>
      <x:c r="K39" s="30"/>
      <x:c r="L39" s="30"/>
      <x:c r="M39" s="30"/>
      <x:c r="N39" s="30"/>
      <x:c r="O39" s="32"/>
      <x:c r="P39" s="34"/>
      <x:c r="Q39" s="14"/>
      <x:c r="R39" s="14"/>
      <x:c r="S39" s="36" t="str">
        <x:f>IF(COUNT(J39:M39)&lt;4,"",SUM(J39:M39))</x:f>
      </x:c>
      <x:c r="T39" s="38" t="str">
        <x:f>IF(OR(S39="",I39="",I39&lt;=0),"",S39/I39)</x:f>
      </x:c>
      <x:c r="U39" s="38" t="str">
        <x:f>IF(OR(L39="",I39="",I39&lt;=0),"",L39/I39)</x:f>
      </x:c>
      <x:c r="V39" s="38" t="str">
        <x:f>IF(OR(M39="",I39="",I39&lt;=0),"",M39/I39)</x:f>
      </x:c>
      <x:c r="W39" s="38" t="str">
        <x:f>IF(OR(N39="",I39="",I39&lt;=0),"",N39/I39)</x:f>
      </x:c>
      <x:c r="X39" s="38" t="str">
        <x:f>IF(OR(O39="",F39="",F39&lt;=0),"",O39/F39)</x:f>
      </x:c>
      <x:c r="Y39" s="40" t="str">
        <x:f>IF(OR(A39="",B39=""),"",B39-A39)</x:f>
      </x:c>
      <x:c r="Z39" s="8" t="str">
        <x:f>IF(COUNTA(A39:R39)=0,"",IF(OR(A39="",B39="",C39="",G39="",H39=""),"INCOMPLETO",IF(B39&lt;A39,"DATA INVÁLIDA",IF(AND(G39="7d",OR(Y39&lt;7,Y39&gt;10)),"FORA DA JANELA",IF(AND(G39="30d",OR(Y39&lt;30,Y39&gt;35)),"FORA DA JANELA",IF(COUNTIFS($C$2:$C$201,C39,$G$2:$G$201,G39)&gt;1,"DUPLICADO","OK"))))))</x:f>
      </x:c>
      <x:c r="AA39" s="44" t="n">
        <x:f>IF(ISNUMBER(H39),1,0)</x:f>
        <x:v>0</x:v>
      </x:c>
      <x:c r="AB39" s="44" t="n">
        <x:f>IF(ISNUMBER(I39),1,0)</x:f>
        <x:v>0</x:v>
      </x:c>
      <x:c r="AC39" s="44" t="n">
        <x:f>IF(ISNUMBER(T39),1,0)</x:f>
        <x:v>0</x:v>
      </x:c>
      <x:c r="AD39" s="44" t="n">
        <x:f>IF(ISNUMBER(U39),1,0)</x:f>
        <x:v>0</x:v>
      </x:c>
      <x:c r="AE39" s="44" t="n">
        <x:f>IF(ISNUMBER(V39),1,0)</x:f>
        <x:v>0</x:v>
      </x:c>
      <x:c r="AF39" s="44" t="n">
        <x:f>IF(ISNUMBER(W39),1,0)</x:f>
        <x:v>0</x:v>
      </x:c>
      <x:c r="AG39" s="44" t="n">
        <x:f>IF(ISNUMBER(X39),1,0)</x:f>
        <x:v>0</x:v>
      </x:c>
      <x:c r="AH39" s="44" t="n">
        <x:f>IF(ISNUMBER(P39),1,0)</x:f>
        <x:v>0</x:v>
      </x:c>
      <x:c r="AI39" s="44" t="n">
        <x:f>IF(ISNUMBER(O39),1,0)</x:f>
        <x:v>0</x:v>
      </x:c>
    </x:row>
    <x:row r="40" ht="22" customHeight="1">
      <x:c r="A40" s="26"/>
      <x:c r="B40" s="26"/>
      <x:c r="C40" s="14"/>
      <x:c r="D40" s="14"/>
      <x:c r="E40" s="14"/>
      <x:c r="F40" s="28"/>
      <x:c r="G40" s="14"/>
      <x:c r="H40" s="30"/>
      <x:c r="I40" s="30"/>
      <x:c r="J40" s="30"/>
      <x:c r="K40" s="30"/>
      <x:c r="L40" s="30"/>
      <x:c r="M40" s="30"/>
      <x:c r="N40" s="30"/>
      <x:c r="O40" s="32"/>
      <x:c r="P40" s="34"/>
      <x:c r="Q40" s="14"/>
      <x:c r="R40" s="14"/>
      <x:c r="S40" s="36" t="str">
        <x:f>IF(COUNT(J40:M40)&lt;4,"",SUM(J40:M40))</x:f>
      </x:c>
      <x:c r="T40" s="38" t="str">
        <x:f>IF(OR(S40="",I40="",I40&lt;=0),"",S40/I40)</x:f>
      </x:c>
      <x:c r="U40" s="38" t="str">
        <x:f>IF(OR(L40="",I40="",I40&lt;=0),"",L40/I40)</x:f>
      </x:c>
      <x:c r="V40" s="38" t="str">
        <x:f>IF(OR(M40="",I40="",I40&lt;=0),"",M40/I40)</x:f>
      </x:c>
      <x:c r="W40" s="38" t="str">
        <x:f>IF(OR(N40="",I40="",I40&lt;=0),"",N40/I40)</x:f>
      </x:c>
      <x:c r="X40" s="38" t="str">
        <x:f>IF(OR(O40="",F40="",F40&lt;=0),"",O40/F40)</x:f>
      </x:c>
      <x:c r="Y40" s="40" t="str">
        <x:f>IF(OR(A40="",B40=""),"",B40-A40)</x:f>
      </x:c>
      <x:c r="Z40" s="8" t="str">
        <x:f>IF(COUNTA(A40:R40)=0,"",IF(OR(A40="",B40="",C40="",G40="",H40=""),"INCOMPLETO",IF(B40&lt;A40,"DATA INVÁLIDA",IF(AND(G40="7d",OR(Y40&lt;7,Y40&gt;10)),"FORA DA JANELA",IF(AND(G40="30d",OR(Y40&lt;30,Y40&gt;35)),"FORA DA JANELA",IF(COUNTIFS($C$2:$C$201,C40,$G$2:$G$201,G40)&gt;1,"DUPLICADO","OK"))))))</x:f>
      </x:c>
      <x:c r="AA40" s="44" t="n">
        <x:f>IF(ISNUMBER(H40),1,0)</x:f>
        <x:v>0</x:v>
      </x:c>
      <x:c r="AB40" s="44" t="n">
        <x:f>IF(ISNUMBER(I40),1,0)</x:f>
        <x:v>0</x:v>
      </x:c>
      <x:c r="AC40" s="44" t="n">
        <x:f>IF(ISNUMBER(T40),1,0)</x:f>
        <x:v>0</x:v>
      </x:c>
      <x:c r="AD40" s="44" t="n">
        <x:f>IF(ISNUMBER(U40),1,0)</x:f>
        <x:v>0</x:v>
      </x:c>
      <x:c r="AE40" s="44" t="n">
        <x:f>IF(ISNUMBER(V40),1,0)</x:f>
        <x:v>0</x:v>
      </x:c>
      <x:c r="AF40" s="44" t="n">
        <x:f>IF(ISNUMBER(W40),1,0)</x:f>
        <x:v>0</x:v>
      </x:c>
      <x:c r="AG40" s="44" t="n">
        <x:f>IF(ISNUMBER(X40),1,0)</x:f>
        <x:v>0</x:v>
      </x:c>
      <x:c r="AH40" s="44" t="n">
        <x:f>IF(ISNUMBER(P40),1,0)</x:f>
        <x:v>0</x:v>
      </x:c>
      <x:c r="AI40" s="44" t="n">
        <x:f>IF(ISNUMBER(O40),1,0)</x:f>
        <x:v>0</x:v>
      </x:c>
    </x:row>
    <x:row r="41" ht="22" customHeight="1">
      <x:c r="A41" s="26"/>
      <x:c r="B41" s="26"/>
      <x:c r="C41" s="14"/>
      <x:c r="D41" s="14"/>
      <x:c r="E41" s="14"/>
      <x:c r="F41" s="28"/>
      <x:c r="G41" s="14"/>
      <x:c r="H41" s="30"/>
      <x:c r="I41" s="30"/>
      <x:c r="J41" s="30"/>
      <x:c r="K41" s="30"/>
      <x:c r="L41" s="30"/>
      <x:c r="M41" s="30"/>
      <x:c r="N41" s="30"/>
      <x:c r="O41" s="32"/>
      <x:c r="P41" s="34"/>
      <x:c r="Q41" s="14"/>
      <x:c r="R41" s="14"/>
      <x:c r="S41" s="36" t="str">
        <x:f>IF(COUNT(J41:M41)&lt;4,"",SUM(J41:M41))</x:f>
      </x:c>
      <x:c r="T41" s="38" t="str">
        <x:f>IF(OR(S41="",I41="",I41&lt;=0),"",S41/I41)</x:f>
      </x:c>
      <x:c r="U41" s="38" t="str">
        <x:f>IF(OR(L41="",I41="",I41&lt;=0),"",L41/I41)</x:f>
      </x:c>
      <x:c r="V41" s="38" t="str">
        <x:f>IF(OR(M41="",I41="",I41&lt;=0),"",M41/I41)</x:f>
      </x:c>
      <x:c r="W41" s="38" t="str">
        <x:f>IF(OR(N41="",I41="",I41&lt;=0),"",N41/I41)</x:f>
      </x:c>
      <x:c r="X41" s="38" t="str">
        <x:f>IF(OR(O41="",F41="",F41&lt;=0),"",O41/F41)</x:f>
      </x:c>
      <x:c r="Y41" s="40" t="str">
        <x:f>IF(OR(A41="",B41=""),"",B41-A41)</x:f>
      </x:c>
      <x:c r="Z41" s="8" t="str">
        <x:f>IF(COUNTA(A41:R41)=0,"",IF(OR(A41="",B41="",C41="",G41="",H41=""),"INCOMPLETO",IF(B41&lt;A41,"DATA INVÁLIDA",IF(AND(G41="7d",OR(Y41&lt;7,Y41&gt;10)),"FORA DA JANELA",IF(AND(G41="30d",OR(Y41&lt;30,Y41&gt;35)),"FORA DA JANELA",IF(COUNTIFS($C$2:$C$201,C41,$G$2:$G$201,G41)&gt;1,"DUPLICADO","OK"))))))</x:f>
      </x:c>
      <x:c r="AA41" s="44" t="n">
        <x:f>IF(ISNUMBER(H41),1,0)</x:f>
        <x:v>0</x:v>
      </x:c>
      <x:c r="AB41" s="44" t="n">
        <x:f>IF(ISNUMBER(I41),1,0)</x:f>
        <x:v>0</x:v>
      </x:c>
      <x:c r="AC41" s="44" t="n">
        <x:f>IF(ISNUMBER(T41),1,0)</x:f>
        <x:v>0</x:v>
      </x:c>
      <x:c r="AD41" s="44" t="n">
        <x:f>IF(ISNUMBER(U41),1,0)</x:f>
        <x:v>0</x:v>
      </x:c>
      <x:c r="AE41" s="44" t="n">
        <x:f>IF(ISNUMBER(V41),1,0)</x:f>
        <x:v>0</x:v>
      </x:c>
      <x:c r="AF41" s="44" t="n">
        <x:f>IF(ISNUMBER(W41),1,0)</x:f>
        <x:v>0</x:v>
      </x:c>
      <x:c r="AG41" s="44" t="n">
        <x:f>IF(ISNUMBER(X41),1,0)</x:f>
        <x:v>0</x:v>
      </x:c>
      <x:c r="AH41" s="44" t="n">
        <x:f>IF(ISNUMBER(P41),1,0)</x:f>
        <x:v>0</x:v>
      </x:c>
      <x:c r="AI41" s="44" t="n">
        <x:f>IF(ISNUMBER(O41),1,0)</x:f>
        <x:v>0</x:v>
      </x:c>
    </x:row>
    <x:row r="42" ht="22" customHeight="1">
      <x:c r="A42" s="26"/>
      <x:c r="B42" s="26"/>
      <x:c r="C42" s="14"/>
      <x:c r="D42" s="14"/>
      <x:c r="E42" s="14"/>
      <x:c r="F42" s="28"/>
      <x:c r="G42" s="14"/>
      <x:c r="H42" s="30"/>
      <x:c r="I42" s="30"/>
      <x:c r="J42" s="30"/>
      <x:c r="K42" s="30"/>
      <x:c r="L42" s="30"/>
      <x:c r="M42" s="30"/>
      <x:c r="N42" s="30"/>
      <x:c r="O42" s="32"/>
      <x:c r="P42" s="34"/>
      <x:c r="Q42" s="14"/>
      <x:c r="R42" s="14"/>
      <x:c r="S42" s="36" t="str">
        <x:f>IF(COUNT(J42:M42)&lt;4,"",SUM(J42:M42))</x:f>
      </x:c>
      <x:c r="T42" s="38" t="str">
        <x:f>IF(OR(S42="",I42="",I42&lt;=0),"",S42/I42)</x:f>
      </x:c>
      <x:c r="U42" s="38" t="str">
        <x:f>IF(OR(L42="",I42="",I42&lt;=0),"",L42/I42)</x:f>
      </x:c>
      <x:c r="V42" s="38" t="str">
        <x:f>IF(OR(M42="",I42="",I42&lt;=0),"",M42/I42)</x:f>
      </x:c>
      <x:c r="W42" s="38" t="str">
        <x:f>IF(OR(N42="",I42="",I42&lt;=0),"",N42/I42)</x:f>
      </x:c>
      <x:c r="X42" s="38" t="str">
        <x:f>IF(OR(O42="",F42="",F42&lt;=0),"",O42/F42)</x:f>
      </x:c>
      <x:c r="Y42" s="40" t="str">
        <x:f>IF(OR(A42="",B42=""),"",B42-A42)</x:f>
      </x:c>
      <x:c r="Z42" s="8" t="str">
        <x:f>IF(COUNTA(A42:R42)=0,"",IF(OR(A42="",B42="",C42="",G42="",H42=""),"INCOMPLETO",IF(B42&lt;A42,"DATA INVÁLIDA",IF(AND(G42="7d",OR(Y42&lt;7,Y42&gt;10)),"FORA DA JANELA",IF(AND(G42="30d",OR(Y42&lt;30,Y42&gt;35)),"FORA DA JANELA",IF(COUNTIFS($C$2:$C$201,C42,$G$2:$G$201,G42)&gt;1,"DUPLICADO","OK"))))))</x:f>
      </x:c>
      <x:c r="AA42" s="44" t="n">
        <x:f>IF(ISNUMBER(H42),1,0)</x:f>
        <x:v>0</x:v>
      </x:c>
      <x:c r="AB42" s="44" t="n">
        <x:f>IF(ISNUMBER(I42),1,0)</x:f>
        <x:v>0</x:v>
      </x:c>
      <x:c r="AC42" s="44" t="n">
        <x:f>IF(ISNUMBER(T42),1,0)</x:f>
        <x:v>0</x:v>
      </x:c>
      <x:c r="AD42" s="44" t="n">
        <x:f>IF(ISNUMBER(U42),1,0)</x:f>
        <x:v>0</x:v>
      </x:c>
      <x:c r="AE42" s="44" t="n">
        <x:f>IF(ISNUMBER(V42),1,0)</x:f>
        <x:v>0</x:v>
      </x:c>
      <x:c r="AF42" s="44" t="n">
        <x:f>IF(ISNUMBER(W42),1,0)</x:f>
        <x:v>0</x:v>
      </x:c>
      <x:c r="AG42" s="44" t="n">
        <x:f>IF(ISNUMBER(X42),1,0)</x:f>
        <x:v>0</x:v>
      </x:c>
      <x:c r="AH42" s="44" t="n">
        <x:f>IF(ISNUMBER(P42),1,0)</x:f>
        <x:v>0</x:v>
      </x:c>
      <x:c r="AI42" s="44" t="n">
        <x:f>IF(ISNUMBER(O42),1,0)</x:f>
        <x:v>0</x:v>
      </x:c>
    </x:row>
    <x:row r="43" ht="22" customHeight="1">
      <x:c r="A43" s="26"/>
      <x:c r="B43" s="26"/>
      <x:c r="C43" s="14"/>
      <x:c r="D43" s="14"/>
      <x:c r="E43" s="14"/>
      <x:c r="F43" s="28"/>
      <x:c r="G43" s="14"/>
      <x:c r="H43" s="30"/>
      <x:c r="I43" s="30"/>
      <x:c r="J43" s="30"/>
      <x:c r="K43" s="30"/>
      <x:c r="L43" s="30"/>
      <x:c r="M43" s="30"/>
      <x:c r="N43" s="30"/>
      <x:c r="O43" s="32"/>
      <x:c r="P43" s="34"/>
      <x:c r="Q43" s="14"/>
      <x:c r="R43" s="14"/>
      <x:c r="S43" s="36" t="str">
        <x:f>IF(COUNT(J43:M43)&lt;4,"",SUM(J43:M43))</x:f>
      </x:c>
      <x:c r="T43" s="38" t="str">
        <x:f>IF(OR(S43="",I43="",I43&lt;=0),"",S43/I43)</x:f>
      </x:c>
      <x:c r="U43" s="38" t="str">
        <x:f>IF(OR(L43="",I43="",I43&lt;=0),"",L43/I43)</x:f>
      </x:c>
      <x:c r="V43" s="38" t="str">
        <x:f>IF(OR(M43="",I43="",I43&lt;=0),"",M43/I43)</x:f>
      </x:c>
      <x:c r="W43" s="38" t="str">
        <x:f>IF(OR(N43="",I43="",I43&lt;=0),"",N43/I43)</x:f>
      </x:c>
      <x:c r="X43" s="38" t="str">
        <x:f>IF(OR(O43="",F43="",F43&lt;=0),"",O43/F43)</x:f>
      </x:c>
      <x:c r="Y43" s="40" t="str">
        <x:f>IF(OR(A43="",B43=""),"",B43-A43)</x:f>
      </x:c>
      <x:c r="Z43" s="8" t="str">
        <x:f>IF(COUNTA(A43:R43)=0,"",IF(OR(A43="",B43="",C43="",G43="",H43=""),"INCOMPLETO",IF(B43&lt;A43,"DATA INVÁLIDA",IF(AND(G43="7d",OR(Y43&lt;7,Y43&gt;10)),"FORA DA JANELA",IF(AND(G43="30d",OR(Y43&lt;30,Y43&gt;35)),"FORA DA JANELA",IF(COUNTIFS($C$2:$C$201,C43,$G$2:$G$201,G43)&gt;1,"DUPLICADO","OK"))))))</x:f>
      </x:c>
      <x:c r="AA43" s="44" t="n">
        <x:f>IF(ISNUMBER(H43),1,0)</x:f>
        <x:v>0</x:v>
      </x:c>
      <x:c r="AB43" s="44" t="n">
        <x:f>IF(ISNUMBER(I43),1,0)</x:f>
        <x:v>0</x:v>
      </x:c>
      <x:c r="AC43" s="44" t="n">
        <x:f>IF(ISNUMBER(T43),1,0)</x:f>
        <x:v>0</x:v>
      </x:c>
      <x:c r="AD43" s="44" t="n">
        <x:f>IF(ISNUMBER(U43),1,0)</x:f>
        <x:v>0</x:v>
      </x:c>
      <x:c r="AE43" s="44" t="n">
        <x:f>IF(ISNUMBER(V43),1,0)</x:f>
        <x:v>0</x:v>
      </x:c>
      <x:c r="AF43" s="44" t="n">
        <x:f>IF(ISNUMBER(W43),1,0)</x:f>
        <x:v>0</x:v>
      </x:c>
      <x:c r="AG43" s="44" t="n">
        <x:f>IF(ISNUMBER(X43),1,0)</x:f>
        <x:v>0</x:v>
      </x:c>
      <x:c r="AH43" s="44" t="n">
        <x:f>IF(ISNUMBER(P43),1,0)</x:f>
        <x:v>0</x:v>
      </x:c>
      <x:c r="AI43" s="44" t="n">
        <x:f>IF(ISNUMBER(O43),1,0)</x:f>
        <x:v>0</x:v>
      </x:c>
    </x:row>
    <x:row r="44" ht="22" customHeight="1">
      <x:c r="A44" s="26"/>
      <x:c r="B44" s="26"/>
      <x:c r="C44" s="14"/>
      <x:c r="D44" s="14"/>
      <x:c r="E44" s="14"/>
      <x:c r="F44" s="28"/>
      <x:c r="G44" s="14"/>
      <x:c r="H44" s="30"/>
      <x:c r="I44" s="30"/>
      <x:c r="J44" s="30"/>
      <x:c r="K44" s="30"/>
      <x:c r="L44" s="30"/>
      <x:c r="M44" s="30"/>
      <x:c r="N44" s="30"/>
      <x:c r="O44" s="32"/>
      <x:c r="P44" s="34"/>
      <x:c r="Q44" s="14"/>
      <x:c r="R44" s="14"/>
      <x:c r="S44" s="36" t="str">
        <x:f>IF(COUNT(J44:M44)&lt;4,"",SUM(J44:M44))</x:f>
      </x:c>
      <x:c r="T44" s="38" t="str">
        <x:f>IF(OR(S44="",I44="",I44&lt;=0),"",S44/I44)</x:f>
      </x:c>
      <x:c r="U44" s="38" t="str">
        <x:f>IF(OR(L44="",I44="",I44&lt;=0),"",L44/I44)</x:f>
      </x:c>
      <x:c r="V44" s="38" t="str">
        <x:f>IF(OR(M44="",I44="",I44&lt;=0),"",M44/I44)</x:f>
      </x:c>
      <x:c r="W44" s="38" t="str">
        <x:f>IF(OR(N44="",I44="",I44&lt;=0),"",N44/I44)</x:f>
      </x:c>
      <x:c r="X44" s="38" t="str">
        <x:f>IF(OR(O44="",F44="",F44&lt;=0),"",O44/F44)</x:f>
      </x:c>
      <x:c r="Y44" s="40" t="str">
        <x:f>IF(OR(A44="",B44=""),"",B44-A44)</x:f>
      </x:c>
      <x:c r="Z44" s="8" t="str">
        <x:f>IF(COUNTA(A44:R44)=0,"",IF(OR(A44="",B44="",C44="",G44="",H44=""),"INCOMPLETO",IF(B44&lt;A44,"DATA INVÁLIDA",IF(AND(G44="7d",OR(Y44&lt;7,Y44&gt;10)),"FORA DA JANELA",IF(AND(G44="30d",OR(Y44&lt;30,Y44&gt;35)),"FORA DA JANELA",IF(COUNTIFS($C$2:$C$201,C44,$G$2:$G$201,G44)&gt;1,"DUPLICADO","OK"))))))</x:f>
      </x:c>
      <x:c r="AA44" s="44" t="n">
        <x:f>IF(ISNUMBER(H44),1,0)</x:f>
        <x:v>0</x:v>
      </x:c>
      <x:c r="AB44" s="44" t="n">
        <x:f>IF(ISNUMBER(I44),1,0)</x:f>
        <x:v>0</x:v>
      </x:c>
      <x:c r="AC44" s="44" t="n">
        <x:f>IF(ISNUMBER(T44),1,0)</x:f>
        <x:v>0</x:v>
      </x:c>
      <x:c r="AD44" s="44" t="n">
        <x:f>IF(ISNUMBER(U44),1,0)</x:f>
        <x:v>0</x:v>
      </x:c>
      <x:c r="AE44" s="44" t="n">
        <x:f>IF(ISNUMBER(V44),1,0)</x:f>
        <x:v>0</x:v>
      </x:c>
      <x:c r="AF44" s="44" t="n">
        <x:f>IF(ISNUMBER(W44),1,0)</x:f>
        <x:v>0</x:v>
      </x:c>
      <x:c r="AG44" s="44" t="n">
        <x:f>IF(ISNUMBER(X44),1,0)</x:f>
        <x:v>0</x:v>
      </x:c>
      <x:c r="AH44" s="44" t="n">
        <x:f>IF(ISNUMBER(P44),1,0)</x:f>
        <x:v>0</x:v>
      </x:c>
      <x:c r="AI44" s="44" t="n">
        <x:f>IF(ISNUMBER(O44),1,0)</x:f>
        <x:v>0</x:v>
      </x:c>
    </x:row>
    <x:row r="45" ht="22" customHeight="1">
      <x:c r="A45" s="26"/>
      <x:c r="B45" s="26"/>
      <x:c r="C45" s="14"/>
      <x:c r="D45" s="14"/>
      <x:c r="E45" s="14"/>
      <x:c r="F45" s="28"/>
      <x:c r="G45" s="14"/>
      <x:c r="H45" s="30"/>
      <x:c r="I45" s="30"/>
      <x:c r="J45" s="30"/>
      <x:c r="K45" s="30"/>
      <x:c r="L45" s="30"/>
      <x:c r="M45" s="30"/>
      <x:c r="N45" s="30"/>
      <x:c r="O45" s="32"/>
      <x:c r="P45" s="34"/>
      <x:c r="Q45" s="14"/>
      <x:c r="R45" s="14"/>
      <x:c r="S45" s="36" t="str">
        <x:f>IF(COUNT(J45:M45)&lt;4,"",SUM(J45:M45))</x:f>
      </x:c>
      <x:c r="T45" s="38" t="str">
        <x:f>IF(OR(S45="",I45="",I45&lt;=0),"",S45/I45)</x:f>
      </x:c>
      <x:c r="U45" s="38" t="str">
        <x:f>IF(OR(L45="",I45="",I45&lt;=0),"",L45/I45)</x:f>
      </x:c>
      <x:c r="V45" s="38" t="str">
        <x:f>IF(OR(M45="",I45="",I45&lt;=0),"",M45/I45)</x:f>
      </x:c>
      <x:c r="W45" s="38" t="str">
        <x:f>IF(OR(N45="",I45="",I45&lt;=0),"",N45/I45)</x:f>
      </x:c>
      <x:c r="X45" s="38" t="str">
        <x:f>IF(OR(O45="",F45="",F45&lt;=0),"",O45/F45)</x:f>
      </x:c>
      <x:c r="Y45" s="40" t="str">
        <x:f>IF(OR(A45="",B45=""),"",B45-A45)</x:f>
      </x:c>
      <x:c r="Z45" s="8" t="str">
        <x:f>IF(COUNTA(A45:R45)=0,"",IF(OR(A45="",B45="",C45="",G45="",H45=""),"INCOMPLETO",IF(B45&lt;A45,"DATA INVÁLIDA",IF(AND(G45="7d",OR(Y45&lt;7,Y45&gt;10)),"FORA DA JANELA",IF(AND(G45="30d",OR(Y45&lt;30,Y45&gt;35)),"FORA DA JANELA",IF(COUNTIFS($C$2:$C$201,C45,$G$2:$G$201,G45)&gt;1,"DUPLICADO","OK"))))))</x:f>
      </x:c>
      <x:c r="AA45" s="44" t="n">
        <x:f>IF(ISNUMBER(H45),1,0)</x:f>
        <x:v>0</x:v>
      </x:c>
      <x:c r="AB45" s="44" t="n">
        <x:f>IF(ISNUMBER(I45),1,0)</x:f>
        <x:v>0</x:v>
      </x:c>
      <x:c r="AC45" s="44" t="n">
        <x:f>IF(ISNUMBER(T45),1,0)</x:f>
        <x:v>0</x:v>
      </x:c>
      <x:c r="AD45" s="44" t="n">
        <x:f>IF(ISNUMBER(U45),1,0)</x:f>
        <x:v>0</x:v>
      </x:c>
      <x:c r="AE45" s="44" t="n">
        <x:f>IF(ISNUMBER(V45),1,0)</x:f>
        <x:v>0</x:v>
      </x:c>
      <x:c r="AF45" s="44" t="n">
        <x:f>IF(ISNUMBER(W45),1,0)</x:f>
        <x:v>0</x:v>
      </x:c>
      <x:c r="AG45" s="44" t="n">
        <x:f>IF(ISNUMBER(X45),1,0)</x:f>
        <x:v>0</x:v>
      </x:c>
      <x:c r="AH45" s="44" t="n">
        <x:f>IF(ISNUMBER(P45),1,0)</x:f>
        <x:v>0</x:v>
      </x:c>
      <x:c r="AI45" s="44" t="n">
        <x:f>IF(ISNUMBER(O45),1,0)</x:f>
        <x:v>0</x:v>
      </x:c>
    </x:row>
    <x:row r="46" ht="22" customHeight="1">
      <x:c r="A46" s="26"/>
      <x:c r="B46" s="26"/>
      <x:c r="C46" s="14"/>
      <x:c r="D46" s="14"/>
      <x:c r="E46" s="14"/>
      <x:c r="F46" s="28"/>
      <x:c r="G46" s="14"/>
      <x:c r="H46" s="30"/>
      <x:c r="I46" s="30"/>
      <x:c r="J46" s="30"/>
      <x:c r="K46" s="30"/>
      <x:c r="L46" s="30"/>
      <x:c r="M46" s="30"/>
      <x:c r="N46" s="30"/>
      <x:c r="O46" s="32"/>
      <x:c r="P46" s="34"/>
      <x:c r="Q46" s="14"/>
      <x:c r="R46" s="14"/>
      <x:c r="S46" s="36" t="str">
        <x:f>IF(COUNT(J46:M46)&lt;4,"",SUM(J46:M46))</x:f>
      </x:c>
      <x:c r="T46" s="38" t="str">
        <x:f>IF(OR(S46="",I46="",I46&lt;=0),"",S46/I46)</x:f>
      </x:c>
      <x:c r="U46" s="38" t="str">
        <x:f>IF(OR(L46="",I46="",I46&lt;=0),"",L46/I46)</x:f>
      </x:c>
      <x:c r="V46" s="38" t="str">
        <x:f>IF(OR(M46="",I46="",I46&lt;=0),"",M46/I46)</x:f>
      </x:c>
      <x:c r="W46" s="38" t="str">
        <x:f>IF(OR(N46="",I46="",I46&lt;=0),"",N46/I46)</x:f>
      </x:c>
      <x:c r="X46" s="38" t="str">
        <x:f>IF(OR(O46="",F46="",F46&lt;=0),"",O46/F46)</x:f>
      </x:c>
      <x:c r="Y46" s="40" t="str">
        <x:f>IF(OR(A46="",B46=""),"",B46-A46)</x:f>
      </x:c>
      <x:c r="Z46" s="8" t="str">
        <x:f>IF(COUNTA(A46:R46)=0,"",IF(OR(A46="",B46="",C46="",G46="",H46=""),"INCOMPLETO",IF(B46&lt;A46,"DATA INVÁLIDA",IF(AND(G46="7d",OR(Y46&lt;7,Y46&gt;10)),"FORA DA JANELA",IF(AND(G46="30d",OR(Y46&lt;30,Y46&gt;35)),"FORA DA JANELA",IF(COUNTIFS($C$2:$C$201,C46,$G$2:$G$201,G46)&gt;1,"DUPLICADO","OK"))))))</x:f>
      </x:c>
      <x:c r="AA46" s="44" t="n">
        <x:f>IF(ISNUMBER(H46),1,0)</x:f>
        <x:v>0</x:v>
      </x:c>
      <x:c r="AB46" s="44" t="n">
        <x:f>IF(ISNUMBER(I46),1,0)</x:f>
        <x:v>0</x:v>
      </x:c>
      <x:c r="AC46" s="44" t="n">
        <x:f>IF(ISNUMBER(T46),1,0)</x:f>
        <x:v>0</x:v>
      </x:c>
      <x:c r="AD46" s="44" t="n">
        <x:f>IF(ISNUMBER(U46),1,0)</x:f>
        <x:v>0</x:v>
      </x:c>
      <x:c r="AE46" s="44" t="n">
        <x:f>IF(ISNUMBER(V46),1,0)</x:f>
        <x:v>0</x:v>
      </x:c>
      <x:c r="AF46" s="44" t="n">
        <x:f>IF(ISNUMBER(W46),1,0)</x:f>
        <x:v>0</x:v>
      </x:c>
      <x:c r="AG46" s="44" t="n">
        <x:f>IF(ISNUMBER(X46),1,0)</x:f>
        <x:v>0</x:v>
      </x:c>
      <x:c r="AH46" s="44" t="n">
        <x:f>IF(ISNUMBER(P46),1,0)</x:f>
        <x:v>0</x:v>
      </x:c>
      <x:c r="AI46" s="44" t="n">
        <x:f>IF(ISNUMBER(O46),1,0)</x:f>
        <x:v>0</x:v>
      </x:c>
    </x:row>
    <x:row r="47" ht="22" customHeight="1">
      <x:c r="A47" s="26"/>
      <x:c r="B47" s="26"/>
      <x:c r="C47" s="14"/>
      <x:c r="D47" s="14"/>
      <x:c r="E47" s="14"/>
      <x:c r="F47" s="28"/>
      <x:c r="G47" s="14"/>
      <x:c r="H47" s="30"/>
      <x:c r="I47" s="30"/>
      <x:c r="J47" s="30"/>
      <x:c r="K47" s="30"/>
      <x:c r="L47" s="30"/>
      <x:c r="M47" s="30"/>
      <x:c r="N47" s="30"/>
      <x:c r="O47" s="32"/>
      <x:c r="P47" s="34"/>
      <x:c r="Q47" s="14"/>
      <x:c r="R47" s="14"/>
      <x:c r="S47" s="36" t="str">
        <x:f>IF(COUNT(J47:M47)&lt;4,"",SUM(J47:M47))</x:f>
      </x:c>
      <x:c r="T47" s="38" t="str">
        <x:f>IF(OR(S47="",I47="",I47&lt;=0),"",S47/I47)</x:f>
      </x:c>
      <x:c r="U47" s="38" t="str">
        <x:f>IF(OR(L47="",I47="",I47&lt;=0),"",L47/I47)</x:f>
      </x:c>
      <x:c r="V47" s="38" t="str">
        <x:f>IF(OR(M47="",I47="",I47&lt;=0),"",M47/I47)</x:f>
      </x:c>
      <x:c r="W47" s="38" t="str">
        <x:f>IF(OR(N47="",I47="",I47&lt;=0),"",N47/I47)</x:f>
      </x:c>
      <x:c r="X47" s="38" t="str">
        <x:f>IF(OR(O47="",F47="",F47&lt;=0),"",O47/F47)</x:f>
      </x:c>
      <x:c r="Y47" s="40" t="str">
        <x:f>IF(OR(A47="",B47=""),"",B47-A47)</x:f>
      </x:c>
      <x:c r="Z47" s="8" t="str">
        <x:f>IF(COUNTA(A47:R47)=0,"",IF(OR(A47="",B47="",C47="",G47="",H47=""),"INCOMPLETO",IF(B47&lt;A47,"DATA INVÁLIDA",IF(AND(G47="7d",OR(Y47&lt;7,Y47&gt;10)),"FORA DA JANELA",IF(AND(G47="30d",OR(Y47&lt;30,Y47&gt;35)),"FORA DA JANELA",IF(COUNTIFS($C$2:$C$201,C47,$G$2:$G$201,G47)&gt;1,"DUPLICADO","OK"))))))</x:f>
      </x:c>
      <x:c r="AA47" s="44" t="n">
        <x:f>IF(ISNUMBER(H47),1,0)</x:f>
        <x:v>0</x:v>
      </x:c>
      <x:c r="AB47" s="44" t="n">
        <x:f>IF(ISNUMBER(I47),1,0)</x:f>
        <x:v>0</x:v>
      </x:c>
      <x:c r="AC47" s="44" t="n">
        <x:f>IF(ISNUMBER(T47),1,0)</x:f>
        <x:v>0</x:v>
      </x:c>
      <x:c r="AD47" s="44" t="n">
        <x:f>IF(ISNUMBER(U47),1,0)</x:f>
        <x:v>0</x:v>
      </x:c>
      <x:c r="AE47" s="44" t="n">
        <x:f>IF(ISNUMBER(V47),1,0)</x:f>
        <x:v>0</x:v>
      </x:c>
      <x:c r="AF47" s="44" t="n">
        <x:f>IF(ISNUMBER(W47),1,0)</x:f>
        <x:v>0</x:v>
      </x:c>
      <x:c r="AG47" s="44" t="n">
        <x:f>IF(ISNUMBER(X47),1,0)</x:f>
        <x:v>0</x:v>
      </x:c>
      <x:c r="AH47" s="44" t="n">
        <x:f>IF(ISNUMBER(P47),1,0)</x:f>
        <x:v>0</x:v>
      </x:c>
      <x:c r="AI47" s="44" t="n">
        <x:f>IF(ISNUMBER(O47),1,0)</x:f>
        <x:v>0</x:v>
      </x:c>
    </x:row>
    <x:row r="48" ht="22" customHeight="1">
      <x:c r="A48" s="26"/>
      <x:c r="B48" s="26"/>
      <x:c r="C48" s="14"/>
      <x:c r="D48" s="14"/>
      <x:c r="E48" s="14"/>
      <x:c r="F48" s="28"/>
      <x:c r="G48" s="14"/>
      <x:c r="H48" s="30"/>
      <x:c r="I48" s="30"/>
      <x:c r="J48" s="30"/>
      <x:c r="K48" s="30"/>
      <x:c r="L48" s="30"/>
      <x:c r="M48" s="30"/>
      <x:c r="N48" s="30"/>
      <x:c r="O48" s="32"/>
      <x:c r="P48" s="34"/>
      <x:c r="Q48" s="14"/>
      <x:c r="R48" s="14"/>
      <x:c r="S48" s="36" t="str">
        <x:f>IF(COUNT(J48:M48)&lt;4,"",SUM(J48:M48))</x:f>
      </x:c>
      <x:c r="T48" s="38" t="str">
        <x:f>IF(OR(S48="",I48="",I48&lt;=0),"",S48/I48)</x:f>
      </x:c>
      <x:c r="U48" s="38" t="str">
        <x:f>IF(OR(L48="",I48="",I48&lt;=0),"",L48/I48)</x:f>
      </x:c>
      <x:c r="V48" s="38" t="str">
        <x:f>IF(OR(M48="",I48="",I48&lt;=0),"",M48/I48)</x:f>
      </x:c>
      <x:c r="W48" s="38" t="str">
        <x:f>IF(OR(N48="",I48="",I48&lt;=0),"",N48/I48)</x:f>
      </x:c>
      <x:c r="X48" s="38" t="str">
        <x:f>IF(OR(O48="",F48="",F48&lt;=0),"",O48/F48)</x:f>
      </x:c>
      <x:c r="Y48" s="40" t="str">
        <x:f>IF(OR(A48="",B48=""),"",B48-A48)</x:f>
      </x:c>
      <x:c r="Z48" s="8" t="str">
        <x:f>IF(COUNTA(A48:R48)=0,"",IF(OR(A48="",B48="",C48="",G48="",H48=""),"INCOMPLETO",IF(B48&lt;A48,"DATA INVÁLIDA",IF(AND(G48="7d",OR(Y48&lt;7,Y48&gt;10)),"FORA DA JANELA",IF(AND(G48="30d",OR(Y48&lt;30,Y48&gt;35)),"FORA DA JANELA",IF(COUNTIFS($C$2:$C$201,C48,$G$2:$G$201,G48)&gt;1,"DUPLICADO","OK"))))))</x:f>
      </x:c>
      <x:c r="AA48" s="44" t="n">
        <x:f>IF(ISNUMBER(H48),1,0)</x:f>
        <x:v>0</x:v>
      </x:c>
      <x:c r="AB48" s="44" t="n">
        <x:f>IF(ISNUMBER(I48),1,0)</x:f>
        <x:v>0</x:v>
      </x:c>
      <x:c r="AC48" s="44" t="n">
        <x:f>IF(ISNUMBER(T48),1,0)</x:f>
        <x:v>0</x:v>
      </x:c>
      <x:c r="AD48" s="44" t="n">
        <x:f>IF(ISNUMBER(U48),1,0)</x:f>
        <x:v>0</x:v>
      </x:c>
      <x:c r="AE48" s="44" t="n">
        <x:f>IF(ISNUMBER(V48),1,0)</x:f>
        <x:v>0</x:v>
      </x:c>
      <x:c r="AF48" s="44" t="n">
        <x:f>IF(ISNUMBER(W48),1,0)</x:f>
        <x:v>0</x:v>
      </x:c>
      <x:c r="AG48" s="44" t="n">
        <x:f>IF(ISNUMBER(X48),1,0)</x:f>
        <x:v>0</x:v>
      </x:c>
      <x:c r="AH48" s="44" t="n">
        <x:f>IF(ISNUMBER(P48),1,0)</x:f>
        <x:v>0</x:v>
      </x:c>
      <x:c r="AI48" s="44" t="n">
        <x:f>IF(ISNUMBER(O48),1,0)</x:f>
        <x:v>0</x:v>
      </x:c>
    </x:row>
    <x:row r="49" ht="22" customHeight="1">
      <x:c r="A49" s="26"/>
      <x:c r="B49" s="26"/>
      <x:c r="C49" s="14"/>
      <x:c r="D49" s="14"/>
      <x:c r="E49" s="14"/>
      <x:c r="F49" s="28"/>
      <x:c r="G49" s="14"/>
      <x:c r="H49" s="30"/>
      <x:c r="I49" s="30"/>
      <x:c r="J49" s="30"/>
      <x:c r="K49" s="30"/>
      <x:c r="L49" s="30"/>
      <x:c r="M49" s="30"/>
      <x:c r="N49" s="30"/>
      <x:c r="O49" s="32"/>
      <x:c r="P49" s="34"/>
      <x:c r="Q49" s="14"/>
      <x:c r="R49" s="14"/>
      <x:c r="S49" s="36" t="str">
        <x:f>IF(COUNT(J49:M49)&lt;4,"",SUM(J49:M49))</x:f>
      </x:c>
      <x:c r="T49" s="38" t="str">
        <x:f>IF(OR(S49="",I49="",I49&lt;=0),"",S49/I49)</x:f>
      </x:c>
      <x:c r="U49" s="38" t="str">
        <x:f>IF(OR(L49="",I49="",I49&lt;=0),"",L49/I49)</x:f>
      </x:c>
      <x:c r="V49" s="38" t="str">
        <x:f>IF(OR(M49="",I49="",I49&lt;=0),"",M49/I49)</x:f>
      </x:c>
      <x:c r="W49" s="38" t="str">
        <x:f>IF(OR(N49="",I49="",I49&lt;=0),"",N49/I49)</x:f>
      </x:c>
      <x:c r="X49" s="38" t="str">
        <x:f>IF(OR(O49="",F49="",F49&lt;=0),"",O49/F49)</x:f>
      </x:c>
      <x:c r="Y49" s="40" t="str">
        <x:f>IF(OR(A49="",B49=""),"",B49-A49)</x:f>
      </x:c>
      <x:c r="Z49" s="8" t="str">
        <x:f>IF(COUNTA(A49:R49)=0,"",IF(OR(A49="",B49="",C49="",G49="",H49=""),"INCOMPLETO",IF(B49&lt;A49,"DATA INVÁLIDA",IF(AND(G49="7d",OR(Y49&lt;7,Y49&gt;10)),"FORA DA JANELA",IF(AND(G49="30d",OR(Y49&lt;30,Y49&gt;35)),"FORA DA JANELA",IF(COUNTIFS($C$2:$C$201,C49,$G$2:$G$201,G49)&gt;1,"DUPLICADO","OK"))))))</x:f>
      </x:c>
      <x:c r="AA49" s="44" t="n">
        <x:f>IF(ISNUMBER(H49),1,0)</x:f>
        <x:v>0</x:v>
      </x:c>
      <x:c r="AB49" s="44" t="n">
        <x:f>IF(ISNUMBER(I49),1,0)</x:f>
        <x:v>0</x:v>
      </x:c>
      <x:c r="AC49" s="44" t="n">
        <x:f>IF(ISNUMBER(T49),1,0)</x:f>
        <x:v>0</x:v>
      </x:c>
      <x:c r="AD49" s="44" t="n">
        <x:f>IF(ISNUMBER(U49),1,0)</x:f>
        <x:v>0</x:v>
      </x:c>
      <x:c r="AE49" s="44" t="n">
        <x:f>IF(ISNUMBER(V49),1,0)</x:f>
        <x:v>0</x:v>
      </x:c>
      <x:c r="AF49" s="44" t="n">
        <x:f>IF(ISNUMBER(W49),1,0)</x:f>
        <x:v>0</x:v>
      </x:c>
      <x:c r="AG49" s="44" t="n">
        <x:f>IF(ISNUMBER(X49),1,0)</x:f>
        <x:v>0</x:v>
      </x:c>
      <x:c r="AH49" s="44" t="n">
        <x:f>IF(ISNUMBER(P49),1,0)</x:f>
        <x:v>0</x:v>
      </x:c>
      <x:c r="AI49" s="44" t="n">
        <x:f>IF(ISNUMBER(O49),1,0)</x:f>
        <x:v>0</x:v>
      </x:c>
    </x:row>
    <x:row r="50" ht="22" customHeight="1">
      <x:c r="A50" s="26"/>
      <x:c r="B50" s="26"/>
      <x:c r="C50" s="14"/>
      <x:c r="D50" s="14"/>
      <x:c r="E50" s="14"/>
      <x:c r="F50" s="28"/>
      <x:c r="G50" s="14"/>
      <x:c r="H50" s="30"/>
      <x:c r="I50" s="30"/>
      <x:c r="J50" s="30"/>
      <x:c r="K50" s="30"/>
      <x:c r="L50" s="30"/>
      <x:c r="M50" s="30"/>
      <x:c r="N50" s="30"/>
      <x:c r="O50" s="32"/>
      <x:c r="P50" s="34"/>
      <x:c r="Q50" s="14"/>
      <x:c r="R50" s="14"/>
      <x:c r="S50" s="36" t="str">
        <x:f>IF(COUNT(J50:M50)&lt;4,"",SUM(J50:M50))</x:f>
      </x:c>
      <x:c r="T50" s="38" t="str">
        <x:f>IF(OR(S50="",I50="",I50&lt;=0),"",S50/I50)</x:f>
      </x:c>
      <x:c r="U50" s="38" t="str">
        <x:f>IF(OR(L50="",I50="",I50&lt;=0),"",L50/I50)</x:f>
      </x:c>
      <x:c r="V50" s="38" t="str">
        <x:f>IF(OR(M50="",I50="",I50&lt;=0),"",M50/I50)</x:f>
      </x:c>
      <x:c r="W50" s="38" t="str">
        <x:f>IF(OR(N50="",I50="",I50&lt;=0),"",N50/I50)</x:f>
      </x:c>
      <x:c r="X50" s="38" t="str">
        <x:f>IF(OR(O50="",F50="",F50&lt;=0),"",O50/F50)</x:f>
      </x:c>
      <x:c r="Y50" s="40" t="str">
        <x:f>IF(OR(A50="",B50=""),"",B50-A50)</x:f>
      </x:c>
      <x:c r="Z50" s="8" t="str">
        <x:f>IF(COUNTA(A50:R50)=0,"",IF(OR(A50="",B50="",C50="",G50="",H50=""),"INCOMPLETO",IF(B50&lt;A50,"DATA INVÁLIDA",IF(AND(G50="7d",OR(Y50&lt;7,Y50&gt;10)),"FORA DA JANELA",IF(AND(G50="30d",OR(Y50&lt;30,Y50&gt;35)),"FORA DA JANELA",IF(COUNTIFS($C$2:$C$201,C50,$G$2:$G$201,G50)&gt;1,"DUPLICADO","OK"))))))</x:f>
      </x:c>
      <x:c r="AA50" s="44" t="n">
        <x:f>IF(ISNUMBER(H50),1,0)</x:f>
        <x:v>0</x:v>
      </x:c>
      <x:c r="AB50" s="44" t="n">
        <x:f>IF(ISNUMBER(I50),1,0)</x:f>
        <x:v>0</x:v>
      </x:c>
      <x:c r="AC50" s="44" t="n">
        <x:f>IF(ISNUMBER(T50),1,0)</x:f>
        <x:v>0</x:v>
      </x:c>
      <x:c r="AD50" s="44" t="n">
        <x:f>IF(ISNUMBER(U50),1,0)</x:f>
        <x:v>0</x:v>
      </x:c>
      <x:c r="AE50" s="44" t="n">
        <x:f>IF(ISNUMBER(V50),1,0)</x:f>
        <x:v>0</x:v>
      </x:c>
      <x:c r="AF50" s="44" t="n">
        <x:f>IF(ISNUMBER(W50),1,0)</x:f>
        <x:v>0</x:v>
      </x:c>
      <x:c r="AG50" s="44" t="n">
        <x:f>IF(ISNUMBER(X50),1,0)</x:f>
        <x:v>0</x:v>
      </x:c>
      <x:c r="AH50" s="44" t="n">
        <x:f>IF(ISNUMBER(P50),1,0)</x:f>
        <x:v>0</x:v>
      </x:c>
      <x:c r="AI50" s="44" t="n">
        <x:f>IF(ISNUMBER(O50),1,0)</x:f>
        <x:v>0</x:v>
      </x:c>
    </x:row>
    <x:row r="51" ht="22" customHeight="1">
      <x:c r="A51" s="26"/>
      <x:c r="B51" s="26"/>
      <x:c r="C51" s="14"/>
      <x:c r="D51" s="14"/>
      <x:c r="E51" s="14"/>
      <x:c r="F51" s="28"/>
      <x:c r="G51" s="14"/>
      <x:c r="H51" s="30"/>
      <x:c r="I51" s="30"/>
      <x:c r="J51" s="30"/>
      <x:c r="K51" s="30"/>
      <x:c r="L51" s="30"/>
      <x:c r="M51" s="30"/>
      <x:c r="N51" s="30"/>
      <x:c r="O51" s="32"/>
      <x:c r="P51" s="34"/>
      <x:c r="Q51" s="14"/>
      <x:c r="R51" s="14"/>
      <x:c r="S51" s="36" t="str">
        <x:f>IF(COUNT(J51:M51)&lt;4,"",SUM(J51:M51))</x:f>
      </x:c>
      <x:c r="T51" s="38" t="str">
        <x:f>IF(OR(S51="",I51="",I51&lt;=0),"",S51/I51)</x:f>
      </x:c>
      <x:c r="U51" s="38" t="str">
        <x:f>IF(OR(L51="",I51="",I51&lt;=0),"",L51/I51)</x:f>
      </x:c>
      <x:c r="V51" s="38" t="str">
        <x:f>IF(OR(M51="",I51="",I51&lt;=0),"",M51/I51)</x:f>
      </x:c>
      <x:c r="W51" s="38" t="str">
        <x:f>IF(OR(N51="",I51="",I51&lt;=0),"",N51/I51)</x:f>
      </x:c>
      <x:c r="X51" s="38" t="str">
        <x:f>IF(OR(O51="",F51="",F51&lt;=0),"",O51/F51)</x:f>
      </x:c>
      <x:c r="Y51" s="40" t="str">
        <x:f>IF(OR(A51="",B51=""),"",B51-A51)</x:f>
      </x:c>
      <x:c r="Z51" s="8" t="str">
        <x:f>IF(COUNTA(A51:R51)=0,"",IF(OR(A51="",B51="",C51="",G51="",H51=""),"INCOMPLETO",IF(B51&lt;A51,"DATA INVÁLIDA",IF(AND(G51="7d",OR(Y51&lt;7,Y51&gt;10)),"FORA DA JANELA",IF(AND(G51="30d",OR(Y51&lt;30,Y51&gt;35)),"FORA DA JANELA",IF(COUNTIFS($C$2:$C$201,C51,$G$2:$G$201,G51)&gt;1,"DUPLICADO","OK"))))))</x:f>
      </x:c>
      <x:c r="AA51" s="44" t="n">
        <x:f>IF(ISNUMBER(H51),1,0)</x:f>
        <x:v>0</x:v>
      </x:c>
      <x:c r="AB51" s="44" t="n">
        <x:f>IF(ISNUMBER(I51),1,0)</x:f>
        <x:v>0</x:v>
      </x:c>
      <x:c r="AC51" s="44" t="n">
        <x:f>IF(ISNUMBER(T51),1,0)</x:f>
        <x:v>0</x:v>
      </x:c>
      <x:c r="AD51" s="44" t="n">
        <x:f>IF(ISNUMBER(U51),1,0)</x:f>
        <x:v>0</x:v>
      </x:c>
      <x:c r="AE51" s="44" t="n">
        <x:f>IF(ISNUMBER(V51),1,0)</x:f>
        <x:v>0</x:v>
      </x:c>
      <x:c r="AF51" s="44" t="n">
        <x:f>IF(ISNUMBER(W51),1,0)</x:f>
        <x:v>0</x:v>
      </x:c>
      <x:c r="AG51" s="44" t="n">
        <x:f>IF(ISNUMBER(X51),1,0)</x:f>
        <x:v>0</x:v>
      </x:c>
      <x:c r="AH51" s="44" t="n">
        <x:f>IF(ISNUMBER(P51),1,0)</x:f>
        <x:v>0</x:v>
      </x:c>
      <x:c r="AI51" s="44" t="n">
        <x:f>IF(ISNUMBER(O51),1,0)</x:f>
        <x:v>0</x:v>
      </x:c>
    </x:row>
    <x:row r="52" ht="22" customHeight="1">
      <x:c r="A52" s="26"/>
      <x:c r="B52" s="26"/>
      <x:c r="C52" s="14"/>
      <x:c r="D52" s="14"/>
      <x:c r="E52" s="14"/>
      <x:c r="F52" s="28"/>
      <x:c r="G52" s="14"/>
      <x:c r="H52" s="30"/>
      <x:c r="I52" s="30"/>
      <x:c r="J52" s="30"/>
      <x:c r="K52" s="30"/>
      <x:c r="L52" s="30"/>
      <x:c r="M52" s="30"/>
      <x:c r="N52" s="30"/>
      <x:c r="O52" s="32"/>
      <x:c r="P52" s="34"/>
      <x:c r="Q52" s="14"/>
      <x:c r="R52" s="14"/>
      <x:c r="S52" s="36" t="str">
        <x:f>IF(COUNT(J52:M52)&lt;4,"",SUM(J52:M52))</x:f>
      </x:c>
      <x:c r="T52" s="38" t="str">
        <x:f>IF(OR(S52="",I52="",I52&lt;=0),"",S52/I52)</x:f>
      </x:c>
      <x:c r="U52" s="38" t="str">
        <x:f>IF(OR(L52="",I52="",I52&lt;=0),"",L52/I52)</x:f>
      </x:c>
      <x:c r="V52" s="38" t="str">
        <x:f>IF(OR(M52="",I52="",I52&lt;=0),"",M52/I52)</x:f>
      </x:c>
      <x:c r="W52" s="38" t="str">
        <x:f>IF(OR(N52="",I52="",I52&lt;=0),"",N52/I52)</x:f>
      </x:c>
      <x:c r="X52" s="38" t="str">
        <x:f>IF(OR(O52="",F52="",F52&lt;=0),"",O52/F52)</x:f>
      </x:c>
      <x:c r="Y52" s="40" t="str">
        <x:f>IF(OR(A52="",B52=""),"",B52-A52)</x:f>
      </x:c>
      <x:c r="Z52" s="8" t="str">
        <x:f>IF(COUNTA(A52:R52)=0,"",IF(OR(A52="",B52="",C52="",G52="",H52=""),"INCOMPLETO",IF(B52&lt;A52,"DATA INVÁLIDA",IF(AND(G52="7d",OR(Y52&lt;7,Y52&gt;10)),"FORA DA JANELA",IF(AND(G52="30d",OR(Y52&lt;30,Y52&gt;35)),"FORA DA JANELA",IF(COUNTIFS($C$2:$C$201,C52,$G$2:$G$201,G52)&gt;1,"DUPLICADO","OK"))))))</x:f>
      </x:c>
      <x:c r="AA52" s="44" t="n">
        <x:f>IF(ISNUMBER(H52),1,0)</x:f>
        <x:v>0</x:v>
      </x:c>
      <x:c r="AB52" s="44" t="n">
        <x:f>IF(ISNUMBER(I52),1,0)</x:f>
        <x:v>0</x:v>
      </x:c>
      <x:c r="AC52" s="44" t="n">
        <x:f>IF(ISNUMBER(T52),1,0)</x:f>
        <x:v>0</x:v>
      </x:c>
      <x:c r="AD52" s="44" t="n">
        <x:f>IF(ISNUMBER(U52),1,0)</x:f>
        <x:v>0</x:v>
      </x:c>
      <x:c r="AE52" s="44" t="n">
        <x:f>IF(ISNUMBER(V52),1,0)</x:f>
        <x:v>0</x:v>
      </x:c>
      <x:c r="AF52" s="44" t="n">
        <x:f>IF(ISNUMBER(W52),1,0)</x:f>
        <x:v>0</x:v>
      </x:c>
      <x:c r="AG52" s="44" t="n">
        <x:f>IF(ISNUMBER(X52),1,0)</x:f>
        <x:v>0</x:v>
      </x:c>
      <x:c r="AH52" s="44" t="n">
        <x:f>IF(ISNUMBER(P52),1,0)</x:f>
        <x:v>0</x:v>
      </x:c>
      <x:c r="AI52" s="44" t="n">
        <x:f>IF(ISNUMBER(O52),1,0)</x:f>
        <x:v>0</x:v>
      </x:c>
    </x:row>
    <x:row r="53" ht="22" customHeight="1">
      <x:c r="A53" s="26"/>
      <x:c r="B53" s="26"/>
      <x:c r="C53" s="14"/>
      <x:c r="D53" s="14"/>
      <x:c r="E53" s="14"/>
      <x:c r="F53" s="28"/>
      <x:c r="G53" s="14"/>
      <x:c r="H53" s="30"/>
      <x:c r="I53" s="30"/>
      <x:c r="J53" s="30"/>
      <x:c r="K53" s="30"/>
      <x:c r="L53" s="30"/>
      <x:c r="M53" s="30"/>
      <x:c r="N53" s="30"/>
      <x:c r="O53" s="32"/>
      <x:c r="P53" s="34"/>
      <x:c r="Q53" s="14"/>
      <x:c r="R53" s="14"/>
      <x:c r="S53" s="36" t="str">
        <x:f>IF(COUNT(J53:M53)&lt;4,"",SUM(J53:M53))</x:f>
      </x:c>
      <x:c r="T53" s="38" t="str">
        <x:f>IF(OR(S53="",I53="",I53&lt;=0),"",S53/I53)</x:f>
      </x:c>
      <x:c r="U53" s="38" t="str">
        <x:f>IF(OR(L53="",I53="",I53&lt;=0),"",L53/I53)</x:f>
      </x:c>
      <x:c r="V53" s="38" t="str">
        <x:f>IF(OR(M53="",I53="",I53&lt;=0),"",M53/I53)</x:f>
      </x:c>
      <x:c r="W53" s="38" t="str">
        <x:f>IF(OR(N53="",I53="",I53&lt;=0),"",N53/I53)</x:f>
      </x:c>
      <x:c r="X53" s="38" t="str">
        <x:f>IF(OR(O53="",F53="",F53&lt;=0),"",O53/F53)</x:f>
      </x:c>
      <x:c r="Y53" s="40" t="str">
        <x:f>IF(OR(A53="",B53=""),"",B53-A53)</x:f>
      </x:c>
      <x:c r="Z53" s="8" t="str">
        <x:f>IF(COUNTA(A53:R53)=0,"",IF(OR(A53="",B53="",C53="",G53="",H53=""),"INCOMPLETO",IF(B53&lt;A53,"DATA INVÁLIDA",IF(AND(G53="7d",OR(Y53&lt;7,Y53&gt;10)),"FORA DA JANELA",IF(AND(G53="30d",OR(Y53&lt;30,Y53&gt;35)),"FORA DA JANELA",IF(COUNTIFS($C$2:$C$201,C53,$G$2:$G$201,G53)&gt;1,"DUPLICADO","OK"))))))</x:f>
      </x:c>
      <x:c r="AA53" s="44" t="n">
        <x:f>IF(ISNUMBER(H53),1,0)</x:f>
        <x:v>0</x:v>
      </x:c>
      <x:c r="AB53" s="44" t="n">
        <x:f>IF(ISNUMBER(I53),1,0)</x:f>
        <x:v>0</x:v>
      </x:c>
      <x:c r="AC53" s="44" t="n">
        <x:f>IF(ISNUMBER(T53),1,0)</x:f>
        <x:v>0</x:v>
      </x:c>
      <x:c r="AD53" s="44" t="n">
        <x:f>IF(ISNUMBER(U53),1,0)</x:f>
        <x:v>0</x:v>
      </x:c>
      <x:c r="AE53" s="44" t="n">
        <x:f>IF(ISNUMBER(V53),1,0)</x:f>
        <x:v>0</x:v>
      </x:c>
      <x:c r="AF53" s="44" t="n">
        <x:f>IF(ISNUMBER(W53),1,0)</x:f>
        <x:v>0</x:v>
      </x:c>
      <x:c r="AG53" s="44" t="n">
        <x:f>IF(ISNUMBER(X53),1,0)</x:f>
        <x:v>0</x:v>
      </x:c>
      <x:c r="AH53" s="44" t="n">
        <x:f>IF(ISNUMBER(P53),1,0)</x:f>
        <x:v>0</x:v>
      </x:c>
      <x:c r="AI53" s="44" t="n">
        <x:f>IF(ISNUMBER(O53),1,0)</x:f>
        <x:v>0</x:v>
      </x:c>
    </x:row>
    <x:row r="54" ht="22" customHeight="1">
      <x:c r="A54" s="26"/>
      <x:c r="B54" s="26"/>
      <x:c r="C54" s="14"/>
      <x:c r="D54" s="14"/>
      <x:c r="E54" s="14"/>
      <x:c r="F54" s="28"/>
      <x:c r="G54" s="14"/>
      <x:c r="H54" s="30"/>
      <x:c r="I54" s="30"/>
      <x:c r="J54" s="30"/>
      <x:c r="K54" s="30"/>
      <x:c r="L54" s="30"/>
      <x:c r="M54" s="30"/>
      <x:c r="N54" s="30"/>
      <x:c r="O54" s="32"/>
      <x:c r="P54" s="34"/>
      <x:c r="Q54" s="14"/>
      <x:c r="R54" s="14"/>
      <x:c r="S54" s="36" t="str">
        <x:f>IF(COUNT(J54:M54)&lt;4,"",SUM(J54:M54))</x:f>
      </x:c>
      <x:c r="T54" s="38" t="str">
        <x:f>IF(OR(S54="",I54="",I54&lt;=0),"",S54/I54)</x:f>
      </x:c>
      <x:c r="U54" s="38" t="str">
        <x:f>IF(OR(L54="",I54="",I54&lt;=0),"",L54/I54)</x:f>
      </x:c>
      <x:c r="V54" s="38" t="str">
        <x:f>IF(OR(M54="",I54="",I54&lt;=0),"",M54/I54)</x:f>
      </x:c>
      <x:c r="W54" s="38" t="str">
        <x:f>IF(OR(N54="",I54="",I54&lt;=0),"",N54/I54)</x:f>
      </x:c>
      <x:c r="X54" s="38" t="str">
        <x:f>IF(OR(O54="",F54="",F54&lt;=0),"",O54/F54)</x:f>
      </x:c>
      <x:c r="Y54" s="40" t="str">
        <x:f>IF(OR(A54="",B54=""),"",B54-A54)</x:f>
      </x:c>
      <x:c r="Z54" s="8" t="str">
        <x:f>IF(COUNTA(A54:R54)=0,"",IF(OR(A54="",B54="",C54="",G54="",H54=""),"INCOMPLETO",IF(B54&lt;A54,"DATA INVÁLIDA",IF(AND(G54="7d",OR(Y54&lt;7,Y54&gt;10)),"FORA DA JANELA",IF(AND(G54="30d",OR(Y54&lt;30,Y54&gt;35)),"FORA DA JANELA",IF(COUNTIFS($C$2:$C$201,C54,$G$2:$G$201,G54)&gt;1,"DUPLICADO","OK"))))))</x:f>
      </x:c>
      <x:c r="AA54" s="44" t="n">
        <x:f>IF(ISNUMBER(H54),1,0)</x:f>
        <x:v>0</x:v>
      </x:c>
      <x:c r="AB54" s="44" t="n">
        <x:f>IF(ISNUMBER(I54),1,0)</x:f>
        <x:v>0</x:v>
      </x:c>
      <x:c r="AC54" s="44" t="n">
        <x:f>IF(ISNUMBER(T54),1,0)</x:f>
        <x:v>0</x:v>
      </x:c>
      <x:c r="AD54" s="44" t="n">
        <x:f>IF(ISNUMBER(U54),1,0)</x:f>
        <x:v>0</x:v>
      </x:c>
      <x:c r="AE54" s="44" t="n">
        <x:f>IF(ISNUMBER(V54),1,0)</x:f>
        <x:v>0</x:v>
      </x:c>
      <x:c r="AF54" s="44" t="n">
        <x:f>IF(ISNUMBER(W54),1,0)</x:f>
        <x:v>0</x:v>
      </x:c>
      <x:c r="AG54" s="44" t="n">
        <x:f>IF(ISNUMBER(X54),1,0)</x:f>
        <x:v>0</x:v>
      </x:c>
      <x:c r="AH54" s="44" t="n">
        <x:f>IF(ISNUMBER(P54),1,0)</x:f>
        <x:v>0</x:v>
      </x:c>
      <x:c r="AI54" s="44" t="n">
        <x:f>IF(ISNUMBER(O54),1,0)</x:f>
        <x:v>0</x:v>
      </x:c>
    </x:row>
    <x:row r="55" ht="22" customHeight="1">
      <x:c r="A55" s="26"/>
      <x:c r="B55" s="26"/>
      <x:c r="C55" s="14"/>
      <x:c r="D55" s="14"/>
      <x:c r="E55" s="14"/>
      <x:c r="F55" s="28"/>
      <x:c r="G55" s="14"/>
      <x:c r="H55" s="30"/>
      <x:c r="I55" s="30"/>
      <x:c r="J55" s="30"/>
      <x:c r="K55" s="30"/>
      <x:c r="L55" s="30"/>
      <x:c r="M55" s="30"/>
      <x:c r="N55" s="30"/>
      <x:c r="O55" s="32"/>
      <x:c r="P55" s="34"/>
      <x:c r="Q55" s="14"/>
      <x:c r="R55" s="14"/>
      <x:c r="S55" s="36" t="str">
        <x:f>IF(COUNT(J55:M55)&lt;4,"",SUM(J55:M55))</x:f>
      </x:c>
      <x:c r="T55" s="38" t="str">
        <x:f>IF(OR(S55="",I55="",I55&lt;=0),"",S55/I55)</x:f>
      </x:c>
      <x:c r="U55" s="38" t="str">
        <x:f>IF(OR(L55="",I55="",I55&lt;=0),"",L55/I55)</x:f>
      </x:c>
      <x:c r="V55" s="38" t="str">
        <x:f>IF(OR(M55="",I55="",I55&lt;=0),"",M55/I55)</x:f>
      </x:c>
      <x:c r="W55" s="38" t="str">
        <x:f>IF(OR(N55="",I55="",I55&lt;=0),"",N55/I55)</x:f>
      </x:c>
      <x:c r="X55" s="38" t="str">
        <x:f>IF(OR(O55="",F55="",F55&lt;=0),"",O55/F55)</x:f>
      </x:c>
      <x:c r="Y55" s="40" t="str">
        <x:f>IF(OR(A55="",B55=""),"",B55-A55)</x:f>
      </x:c>
      <x:c r="Z55" s="8" t="str">
        <x:f>IF(COUNTA(A55:R55)=0,"",IF(OR(A55="",B55="",C55="",G55="",H55=""),"INCOMPLETO",IF(B55&lt;A55,"DATA INVÁLIDA",IF(AND(G55="7d",OR(Y55&lt;7,Y55&gt;10)),"FORA DA JANELA",IF(AND(G55="30d",OR(Y55&lt;30,Y55&gt;35)),"FORA DA JANELA",IF(COUNTIFS($C$2:$C$201,C55,$G$2:$G$201,G55)&gt;1,"DUPLICADO","OK"))))))</x:f>
      </x:c>
      <x:c r="AA55" s="44" t="n">
        <x:f>IF(ISNUMBER(H55),1,0)</x:f>
        <x:v>0</x:v>
      </x:c>
      <x:c r="AB55" s="44" t="n">
        <x:f>IF(ISNUMBER(I55),1,0)</x:f>
        <x:v>0</x:v>
      </x:c>
      <x:c r="AC55" s="44" t="n">
        <x:f>IF(ISNUMBER(T55),1,0)</x:f>
        <x:v>0</x:v>
      </x:c>
      <x:c r="AD55" s="44" t="n">
        <x:f>IF(ISNUMBER(U55),1,0)</x:f>
        <x:v>0</x:v>
      </x:c>
      <x:c r="AE55" s="44" t="n">
        <x:f>IF(ISNUMBER(V55),1,0)</x:f>
        <x:v>0</x:v>
      </x:c>
      <x:c r="AF55" s="44" t="n">
        <x:f>IF(ISNUMBER(W55),1,0)</x:f>
        <x:v>0</x:v>
      </x:c>
      <x:c r="AG55" s="44" t="n">
        <x:f>IF(ISNUMBER(X55),1,0)</x:f>
        <x:v>0</x:v>
      </x:c>
      <x:c r="AH55" s="44" t="n">
        <x:f>IF(ISNUMBER(P55),1,0)</x:f>
        <x:v>0</x:v>
      </x:c>
      <x:c r="AI55" s="44" t="n">
        <x:f>IF(ISNUMBER(O55),1,0)</x:f>
        <x:v>0</x:v>
      </x:c>
    </x:row>
    <x:row r="56" ht="22" customHeight="1">
      <x:c r="A56" s="26"/>
      <x:c r="B56" s="26"/>
      <x:c r="C56" s="14"/>
      <x:c r="D56" s="14"/>
      <x:c r="E56" s="14"/>
      <x:c r="F56" s="28"/>
      <x:c r="G56" s="14"/>
      <x:c r="H56" s="30"/>
      <x:c r="I56" s="30"/>
      <x:c r="J56" s="30"/>
      <x:c r="K56" s="30"/>
      <x:c r="L56" s="30"/>
      <x:c r="M56" s="30"/>
      <x:c r="N56" s="30"/>
      <x:c r="O56" s="32"/>
      <x:c r="P56" s="34"/>
      <x:c r="Q56" s="14"/>
      <x:c r="R56" s="14"/>
      <x:c r="S56" s="36" t="str">
        <x:f>IF(COUNT(J56:M56)&lt;4,"",SUM(J56:M56))</x:f>
      </x:c>
      <x:c r="T56" s="38" t="str">
        <x:f>IF(OR(S56="",I56="",I56&lt;=0),"",S56/I56)</x:f>
      </x:c>
      <x:c r="U56" s="38" t="str">
        <x:f>IF(OR(L56="",I56="",I56&lt;=0),"",L56/I56)</x:f>
      </x:c>
      <x:c r="V56" s="38" t="str">
        <x:f>IF(OR(M56="",I56="",I56&lt;=0),"",M56/I56)</x:f>
      </x:c>
      <x:c r="W56" s="38" t="str">
        <x:f>IF(OR(N56="",I56="",I56&lt;=0),"",N56/I56)</x:f>
      </x:c>
      <x:c r="X56" s="38" t="str">
        <x:f>IF(OR(O56="",F56="",F56&lt;=0),"",O56/F56)</x:f>
      </x:c>
      <x:c r="Y56" s="40" t="str">
        <x:f>IF(OR(A56="",B56=""),"",B56-A56)</x:f>
      </x:c>
      <x:c r="Z56" s="8" t="str">
        <x:f>IF(COUNTA(A56:R56)=0,"",IF(OR(A56="",B56="",C56="",G56="",H56=""),"INCOMPLETO",IF(B56&lt;A56,"DATA INVÁLIDA",IF(AND(G56="7d",OR(Y56&lt;7,Y56&gt;10)),"FORA DA JANELA",IF(AND(G56="30d",OR(Y56&lt;30,Y56&gt;35)),"FORA DA JANELA",IF(COUNTIFS($C$2:$C$201,C56,$G$2:$G$201,G56)&gt;1,"DUPLICADO","OK"))))))</x:f>
      </x:c>
      <x:c r="AA56" s="44" t="n">
        <x:f>IF(ISNUMBER(H56),1,0)</x:f>
        <x:v>0</x:v>
      </x:c>
      <x:c r="AB56" s="44" t="n">
        <x:f>IF(ISNUMBER(I56),1,0)</x:f>
        <x:v>0</x:v>
      </x:c>
      <x:c r="AC56" s="44" t="n">
        <x:f>IF(ISNUMBER(T56),1,0)</x:f>
        <x:v>0</x:v>
      </x:c>
      <x:c r="AD56" s="44" t="n">
        <x:f>IF(ISNUMBER(U56),1,0)</x:f>
        <x:v>0</x:v>
      </x:c>
      <x:c r="AE56" s="44" t="n">
        <x:f>IF(ISNUMBER(V56),1,0)</x:f>
        <x:v>0</x:v>
      </x:c>
      <x:c r="AF56" s="44" t="n">
        <x:f>IF(ISNUMBER(W56),1,0)</x:f>
        <x:v>0</x:v>
      </x:c>
      <x:c r="AG56" s="44" t="n">
        <x:f>IF(ISNUMBER(X56),1,0)</x:f>
        <x:v>0</x:v>
      </x:c>
      <x:c r="AH56" s="44" t="n">
        <x:f>IF(ISNUMBER(P56),1,0)</x:f>
        <x:v>0</x:v>
      </x:c>
      <x:c r="AI56" s="44" t="n">
        <x:f>IF(ISNUMBER(O56),1,0)</x:f>
        <x:v>0</x:v>
      </x:c>
    </x:row>
    <x:row r="57" ht="22" customHeight="1">
      <x:c r="A57" s="26"/>
      <x:c r="B57" s="26"/>
      <x:c r="C57" s="14"/>
      <x:c r="D57" s="14"/>
      <x:c r="E57" s="14"/>
      <x:c r="F57" s="28"/>
      <x:c r="G57" s="14"/>
      <x:c r="H57" s="30"/>
      <x:c r="I57" s="30"/>
      <x:c r="J57" s="30"/>
      <x:c r="K57" s="30"/>
      <x:c r="L57" s="30"/>
      <x:c r="M57" s="30"/>
      <x:c r="N57" s="30"/>
      <x:c r="O57" s="32"/>
      <x:c r="P57" s="34"/>
      <x:c r="Q57" s="14"/>
      <x:c r="R57" s="14"/>
      <x:c r="S57" s="36" t="str">
        <x:f>IF(COUNT(J57:M57)&lt;4,"",SUM(J57:M57))</x:f>
      </x:c>
      <x:c r="T57" s="38" t="str">
        <x:f>IF(OR(S57="",I57="",I57&lt;=0),"",S57/I57)</x:f>
      </x:c>
      <x:c r="U57" s="38" t="str">
        <x:f>IF(OR(L57="",I57="",I57&lt;=0),"",L57/I57)</x:f>
      </x:c>
      <x:c r="V57" s="38" t="str">
        <x:f>IF(OR(M57="",I57="",I57&lt;=0),"",M57/I57)</x:f>
      </x:c>
      <x:c r="W57" s="38" t="str">
        <x:f>IF(OR(N57="",I57="",I57&lt;=0),"",N57/I57)</x:f>
      </x:c>
      <x:c r="X57" s="38" t="str">
        <x:f>IF(OR(O57="",F57="",F57&lt;=0),"",O57/F57)</x:f>
      </x:c>
      <x:c r="Y57" s="40" t="str">
        <x:f>IF(OR(A57="",B57=""),"",B57-A57)</x:f>
      </x:c>
      <x:c r="Z57" s="8" t="str">
        <x:f>IF(COUNTA(A57:R57)=0,"",IF(OR(A57="",B57="",C57="",G57="",H57=""),"INCOMPLETO",IF(B57&lt;A57,"DATA INVÁLIDA",IF(AND(G57="7d",OR(Y57&lt;7,Y57&gt;10)),"FORA DA JANELA",IF(AND(G57="30d",OR(Y57&lt;30,Y57&gt;35)),"FORA DA JANELA",IF(COUNTIFS($C$2:$C$201,C57,$G$2:$G$201,G57)&gt;1,"DUPLICADO","OK"))))))</x:f>
      </x:c>
      <x:c r="AA57" s="44" t="n">
        <x:f>IF(ISNUMBER(H57),1,0)</x:f>
        <x:v>0</x:v>
      </x:c>
      <x:c r="AB57" s="44" t="n">
        <x:f>IF(ISNUMBER(I57),1,0)</x:f>
        <x:v>0</x:v>
      </x:c>
      <x:c r="AC57" s="44" t="n">
        <x:f>IF(ISNUMBER(T57),1,0)</x:f>
        <x:v>0</x:v>
      </x:c>
      <x:c r="AD57" s="44" t="n">
        <x:f>IF(ISNUMBER(U57),1,0)</x:f>
        <x:v>0</x:v>
      </x:c>
      <x:c r="AE57" s="44" t="n">
        <x:f>IF(ISNUMBER(V57),1,0)</x:f>
        <x:v>0</x:v>
      </x:c>
      <x:c r="AF57" s="44" t="n">
        <x:f>IF(ISNUMBER(W57),1,0)</x:f>
        <x:v>0</x:v>
      </x:c>
      <x:c r="AG57" s="44" t="n">
        <x:f>IF(ISNUMBER(X57),1,0)</x:f>
        <x:v>0</x:v>
      </x:c>
      <x:c r="AH57" s="44" t="n">
        <x:f>IF(ISNUMBER(P57),1,0)</x:f>
        <x:v>0</x:v>
      </x:c>
      <x:c r="AI57" s="44" t="n">
        <x:f>IF(ISNUMBER(O57),1,0)</x:f>
        <x:v>0</x:v>
      </x:c>
    </x:row>
    <x:row r="58" ht="22" customHeight="1">
      <x:c r="A58" s="26"/>
      <x:c r="B58" s="26"/>
      <x:c r="C58" s="14"/>
      <x:c r="D58" s="14"/>
      <x:c r="E58" s="14"/>
      <x:c r="F58" s="28"/>
      <x:c r="G58" s="14"/>
      <x:c r="H58" s="30"/>
      <x:c r="I58" s="30"/>
      <x:c r="J58" s="30"/>
      <x:c r="K58" s="30"/>
      <x:c r="L58" s="30"/>
      <x:c r="M58" s="30"/>
      <x:c r="N58" s="30"/>
      <x:c r="O58" s="32"/>
      <x:c r="P58" s="34"/>
      <x:c r="Q58" s="14"/>
      <x:c r="R58" s="14"/>
      <x:c r="S58" s="36" t="str">
        <x:f>IF(COUNT(J58:M58)&lt;4,"",SUM(J58:M58))</x:f>
      </x:c>
      <x:c r="T58" s="38" t="str">
        <x:f>IF(OR(S58="",I58="",I58&lt;=0),"",S58/I58)</x:f>
      </x:c>
      <x:c r="U58" s="38" t="str">
        <x:f>IF(OR(L58="",I58="",I58&lt;=0),"",L58/I58)</x:f>
      </x:c>
      <x:c r="V58" s="38" t="str">
        <x:f>IF(OR(M58="",I58="",I58&lt;=0),"",M58/I58)</x:f>
      </x:c>
      <x:c r="W58" s="38" t="str">
        <x:f>IF(OR(N58="",I58="",I58&lt;=0),"",N58/I58)</x:f>
      </x:c>
      <x:c r="X58" s="38" t="str">
        <x:f>IF(OR(O58="",F58="",F58&lt;=0),"",O58/F58)</x:f>
      </x:c>
      <x:c r="Y58" s="40" t="str">
        <x:f>IF(OR(A58="",B58=""),"",B58-A58)</x:f>
      </x:c>
      <x:c r="Z58" s="8" t="str">
        <x:f>IF(COUNTA(A58:R58)=0,"",IF(OR(A58="",B58="",C58="",G58="",H58=""),"INCOMPLETO",IF(B58&lt;A58,"DATA INVÁLIDA",IF(AND(G58="7d",OR(Y58&lt;7,Y58&gt;10)),"FORA DA JANELA",IF(AND(G58="30d",OR(Y58&lt;30,Y58&gt;35)),"FORA DA JANELA",IF(COUNTIFS($C$2:$C$201,C58,$G$2:$G$201,G58)&gt;1,"DUPLICADO","OK"))))))</x:f>
      </x:c>
      <x:c r="AA58" s="44" t="n">
        <x:f>IF(ISNUMBER(H58),1,0)</x:f>
        <x:v>0</x:v>
      </x:c>
      <x:c r="AB58" s="44" t="n">
        <x:f>IF(ISNUMBER(I58),1,0)</x:f>
        <x:v>0</x:v>
      </x:c>
      <x:c r="AC58" s="44" t="n">
        <x:f>IF(ISNUMBER(T58),1,0)</x:f>
        <x:v>0</x:v>
      </x:c>
      <x:c r="AD58" s="44" t="n">
        <x:f>IF(ISNUMBER(U58),1,0)</x:f>
        <x:v>0</x:v>
      </x:c>
      <x:c r="AE58" s="44" t="n">
        <x:f>IF(ISNUMBER(V58),1,0)</x:f>
        <x:v>0</x:v>
      </x:c>
      <x:c r="AF58" s="44" t="n">
        <x:f>IF(ISNUMBER(W58),1,0)</x:f>
        <x:v>0</x:v>
      </x:c>
      <x:c r="AG58" s="44" t="n">
        <x:f>IF(ISNUMBER(X58),1,0)</x:f>
        <x:v>0</x:v>
      </x:c>
      <x:c r="AH58" s="44" t="n">
        <x:f>IF(ISNUMBER(P58),1,0)</x:f>
        <x:v>0</x:v>
      </x:c>
      <x:c r="AI58" s="44" t="n">
        <x:f>IF(ISNUMBER(O58),1,0)</x:f>
        <x:v>0</x:v>
      </x:c>
    </x:row>
    <x:row r="59" ht="22" customHeight="1">
      <x:c r="A59" s="26"/>
      <x:c r="B59" s="26"/>
      <x:c r="C59" s="14"/>
      <x:c r="D59" s="14"/>
      <x:c r="E59" s="14"/>
      <x:c r="F59" s="28"/>
      <x:c r="G59" s="14"/>
      <x:c r="H59" s="30"/>
      <x:c r="I59" s="30"/>
      <x:c r="J59" s="30"/>
      <x:c r="K59" s="30"/>
      <x:c r="L59" s="30"/>
      <x:c r="M59" s="30"/>
      <x:c r="N59" s="30"/>
      <x:c r="O59" s="32"/>
      <x:c r="P59" s="34"/>
      <x:c r="Q59" s="14"/>
      <x:c r="R59" s="14"/>
      <x:c r="S59" s="36" t="str">
        <x:f>IF(COUNT(J59:M59)&lt;4,"",SUM(J59:M59))</x:f>
      </x:c>
      <x:c r="T59" s="38" t="str">
        <x:f>IF(OR(S59="",I59="",I59&lt;=0),"",S59/I59)</x:f>
      </x:c>
      <x:c r="U59" s="38" t="str">
        <x:f>IF(OR(L59="",I59="",I59&lt;=0),"",L59/I59)</x:f>
      </x:c>
      <x:c r="V59" s="38" t="str">
        <x:f>IF(OR(M59="",I59="",I59&lt;=0),"",M59/I59)</x:f>
      </x:c>
      <x:c r="W59" s="38" t="str">
        <x:f>IF(OR(N59="",I59="",I59&lt;=0),"",N59/I59)</x:f>
      </x:c>
      <x:c r="X59" s="38" t="str">
        <x:f>IF(OR(O59="",F59="",F59&lt;=0),"",O59/F59)</x:f>
      </x:c>
      <x:c r="Y59" s="40" t="str">
        <x:f>IF(OR(A59="",B59=""),"",B59-A59)</x:f>
      </x:c>
      <x:c r="Z59" s="8" t="str">
        <x:f>IF(COUNTA(A59:R59)=0,"",IF(OR(A59="",B59="",C59="",G59="",H59=""),"INCOMPLETO",IF(B59&lt;A59,"DATA INVÁLIDA",IF(AND(G59="7d",OR(Y59&lt;7,Y59&gt;10)),"FORA DA JANELA",IF(AND(G59="30d",OR(Y59&lt;30,Y59&gt;35)),"FORA DA JANELA",IF(COUNTIFS($C$2:$C$201,C59,$G$2:$G$201,G59)&gt;1,"DUPLICADO","OK"))))))</x:f>
      </x:c>
      <x:c r="AA59" s="44" t="n">
        <x:f>IF(ISNUMBER(H59),1,0)</x:f>
        <x:v>0</x:v>
      </x:c>
      <x:c r="AB59" s="44" t="n">
        <x:f>IF(ISNUMBER(I59),1,0)</x:f>
        <x:v>0</x:v>
      </x:c>
      <x:c r="AC59" s="44" t="n">
        <x:f>IF(ISNUMBER(T59),1,0)</x:f>
        <x:v>0</x:v>
      </x:c>
      <x:c r="AD59" s="44" t="n">
        <x:f>IF(ISNUMBER(U59),1,0)</x:f>
        <x:v>0</x:v>
      </x:c>
      <x:c r="AE59" s="44" t="n">
        <x:f>IF(ISNUMBER(V59),1,0)</x:f>
        <x:v>0</x:v>
      </x:c>
      <x:c r="AF59" s="44" t="n">
        <x:f>IF(ISNUMBER(W59),1,0)</x:f>
        <x:v>0</x:v>
      </x:c>
      <x:c r="AG59" s="44" t="n">
        <x:f>IF(ISNUMBER(X59),1,0)</x:f>
        <x:v>0</x:v>
      </x:c>
      <x:c r="AH59" s="44" t="n">
        <x:f>IF(ISNUMBER(P59),1,0)</x:f>
        <x:v>0</x:v>
      </x:c>
      <x:c r="AI59" s="44" t="n">
        <x:f>IF(ISNUMBER(O59),1,0)</x:f>
        <x:v>0</x:v>
      </x:c>
    </x:row>
    <x:row r="60" ht="22" customHeight="1">
      <x:c r="A60" s="26"/>
      <x:c r="B60" s="26"/>
      <x:c r="C60" s="14"/>
      <x:c r="D60" s="14"/>
      <x:c r="E60" s="14"/>
      <x:c r="F60" s="28"/>
      <x:c r="G60" s="14"/>
      <x:c r="H60" s="30"/>
      <x:c r="I60" s="30"/>
      <x:c r="J60" s="30"/>
      <x:c r="K60" s="30"/>
      <x:c r="L60" s="30"/>
      <x:c r="M60" s="30"/>
      <x:c r="N60" s="30"/>
      <x:c r="O60" s="32"/>
      <x:c r="P60" s="34"/>
      <x:c r="Q60" s="14"/>
      <x:c r="R60" s="14"/>
      <x:c r="S60" s="36" t="str">
        <x:f>IF(COUNT(J60:M60)&lt;4,"",SUM(J60:M60))</x:f>
      </x:c>
      <x:c r="T60" s="38" t="str">
        <x:f>IF(OR(S60="",I60="",I60&lt;=0),"",S60/I60)</x:f>
      </x:c>
      <x:c r="U60" s="38" t="str">
        <x:f>IF(OR(L60="",I60="",I60&lt;=0),"",L60/I60)</x:f>
      </x:c>
      <x:c r="V60" s="38" t="str">
        <x:f>IF(OR(M60="",I60="",I60&lt;=0),"",M60/I60)</x:f>
      </x:c>
      <x:c r="W60" s="38" t="str">
        <x:f>IF(OR(N60="",I60="",I60&lt;=0),"",N60/I60)</x:f>
      </x:c>
      <x:c r="X60" s="38" t="str">
        <x:f>IF(OR(O60="",F60="",F60&lt;=0),"",O60/F60)</x:f>
      </x:c>
      <x:c r="Y60" s="40" t="str">
        <x:f>IF(OR(A60="",B60=""),"",B60-A60)</x:f>
      </x:c>
      <x:c r="Z60" s="8" t="str">
        <x:f>IF(COUNTA(A60:R60)=0,"",IF(OR(A60="",B60="",C60="",G60="",H60=""),"INCOMPLETO",IF(B60&lt;A60,"DATA INVÁLIDA",IF(AND(G60="7d",OR(Y60&lt;7,Y60&gt;10)),"FORA DA JANELA",IF(AND(G60="30d",OR(Y60&lt;30,Y60&gt;35)),"FORA DA JANELA",IF(COUNTIFS($C$2:$C$201,C60,$G$2:$G$201,G60)&gt;1,"DUPLICADO","OK"))))))</x:f>
      </x:c>
      <x:c r="AA60" s="44" t="n">
        <x:f>IF(ISNUMBER(H60),1,0)</x:f>
        <x:v>0</x:v>
      </x:c>
      <x:c r="AB60" s="44" t="n">
        <x:f>IF(ISNUMBER(I60),1,0)</x:f>
        <x:v>0</x:v>
      </x:c>
      <x:c r="AC60" s="44" t="n">
        <x:f>IF(ISNUMBER(T60),1,0)</x:f>
        <x:v>0</x:v>
      </x:c>
      <x:c r="AD60" s="44" t="n">
        <x:f>IF(ISNUMBER(U60),1,0)</x:f>
        <x:v>0</x:v>
      </x:c>
      <x:c r="AE60" s="44" t="n">
        <x:f>IF(ISNUMBER(V60),1,0)</x:f>
        <x:v>0</x:v>
      </x:c>
      <x:c r="AF60" s="44" t="n">
        <x:f>IF(ISNUMBER(W60),1,0)</x:f>
        <x:v>0</x:v>
      </x:c>
      <x:c r="AG60" s="44" t="n">
        <x:f>IF(ISNUMBER(X60),1,0)</x:f>
        <x:v>0</x:v>
      </x:c>
      <x:c r="AH60" s="44" t="n">
        <x:f>IF(ISNUMBER(P60),1,0)</x:f>
        <x:v>0</x:v>
      </x:c>
      <x:c r="AI60" s="44" t="n">
        <x:f>IF(ISNUMBER(O60),1,0)</x:f>
        <x:v>0</x:v>
      </x:c>
    </x:row>
    <x:row r="61" ht="22" customHeight="1">
      <x:c r="A61" s="26"/>
      <x:c r="B61" s="26"/>
      <x:c r="C61" s="14"/>
      <x:c r="D61" s="14"/>
      <x:c r="E61" s="14"/>
      <x:c r="F61" s="28"/>
      <x:c r="G61" s="14"/>
      <x:c r="H61" s="30"/>
      <x:c r="I61" s="30"/>
      <x:c r="J61" s="30"/>
      <x:c r="K61" s="30"/>
      <x:c r="L61" s="30"/>
      <x:c r="M61" s="30"/>
      <x:c r="N61" s="30"/>
      <x:c r="O61" s="32"/>
      <x:c r="P61" s="34"/>
      <x:c r="Q61" s="14"/>
      <x:c r="R61" s="14"/>
      <x:c r="S61" s="36" t="str">
        <x:f>IF(COUNT(J61:M61)&lt;4,"",SUM(J61:M61))</x:f>
      </x:c>
      <x:c r="T61" s="38" t="str">
        <x:f>IF(OR(S61="",I61="",I61&lt;=0),"",S61/I61)</x:f>
      </x:c>
      <x:c r="U61" s="38" t="str">
        <x:f>IF(OR(L61="",I61="",I61&lt;=0),"",L61/I61)</x:f>
      </x:c>
      <x:c r="V61" s="38" t="str">
        <x:f>IF(OR(M61="",I61="",I61&lt;=0),"",M61/I61)</x:f>
      </x:c>
      <x:c r="W61" s="38" t="str">
        <x:f>IF(OR(N61="",I61="",I61&lt;=0),"",N61/I61)</x:f>
      </x:c>
      <x:c r="X61" s="38" t="str">
        <x:f>IF(OR(O61="",F61="",F61&lt;=0),"",O61/F61)</x:f>
      </x:c>
      <x:c r="Y61" s="40" t="str">
        <x:f>IF(OR(A61="",B61=""),"",B61-A61)</x:f>
      </x:c>
      <x:c r="Z61" s="8" t="str">
        <x:f>IF(COUNTA(A61:R61)=0,"",IF(OR(A61="",B61="",C61="",G61="",H61=""),"INCOMPLETO",IF(B61&lt;A61,"DATA INVÁLIDA",IF(AND(G61="7d",OR(Y61&lt;7,Y61&gt;10)),"FORA DA JANELA",IF(AND(G61="30d",OR(Y61&lt;30,Y61&gt;35)),"FORA DA JANELA",IF(COUNTIFS($C$2:$C$201,C61,$G$2:$G$201,G61)&gt;1,"DUPLICADO","OK"))))))</x:f>
      </x:c>
      <x:c r="AA61" s="44" t="n">
        <x:f>IF(ISNUMBER(H61),1,0)</x:f>
        <x:v>0</x:v>
      </x:c>
      <x:c r="AB61" s="44" t="n">
        <x:f>IF(ISNUMBER(I61),1,0)</x:f>
        <x:v>0</x:v>
      </x:c>
      <x:c r="AC61" s="44" t="n">
        <x:f>IF(ISNUMBER(T61),1,0)</x:f>
        <x:v>0</x:v>
      </x:c>
      <x:c r="AD61" s="44" t="n">
        <x:f>IF(ISNUMBER(U61),1,0)</x:f>
        <x:v>0</x:v>
      </x:c>
      <x:c r="AE61" s="44" t="n">
        <x:f>IF(ISNUMBER(V61),1,0)</x:f>
        <x:v>0</x:v>
      </x:c>
      <x:c r="AF61" s="44" t="n">
        <x:f>IF(ISNUMBER(W61),1,0)</x:f>
        <x:v>0</x:v>
      </x:c>
      <x:c r="AG61" s="44" t="n">
        <x:f>IF(ISNUMBER(X61),1,0)</x:f>
        <x:v>0</x:v>
      </x:c>
      <x:c r="AH61" s="44" t="n">
        <x:f>IF(ISNUMBER(P61),1,0)</x:f>
        <x:v>0</x:v>
      </x:c>
      <x:c r="AI61" s="44" t="n">
        <x:f>IF(ISNUMBER(O61),1,0)</x:f>
        <x:v>0</x:v>
      </x:c>
    </x:row>
    <x:row r="62" ht="22" customHeight="1">
      <x:c r="A62" s="26"/>
      <x:c r="B62" s="26"/>
      <x:c r="C62" s="14"/>
      <x:c r="D62" s="14"/>
      <x:c r="E62" s="14"/>
      <x:c r="F62" s="28"/>
      <x:c r="G62" s="14"/>
      <x:c r="H62" s="30"/>
      <x:c r="I62" s="30"/>
      <x:c r="J62" s="30"/>
      <x:c r="K62" s="30"/>
      <x:c r="L62" s="30"/>
      <x:c r="M62" s="30"/>
      <x:c r="N62" s="30"/>
      <x:c r="O62" s="32"/>
      <x:c r="P62" s="34"/>
      <x:c r="Q62" s="14"/>
      <x:c r="R62" s="14"/>
      <x:c r="S62" s="36" t="str">
        <x:f>IF(COUNT(J62:M62)&lt;4,"",SUM(J62:M62))</x:f>
      </x:c>
      <x:c r="T62" s="38" t="str">
        <x:f>IF(OR(S62="",I62="",I62&lt;=0),"",S62/I62)</x:f>
      </x:c>
      <x:c r="U62" s="38" t="str">
        <x:f>IF(OR(L62="",I62="",I62&lt;=0),"",L62/I62)</x:f>
      </x:c>
      <x:c r="V62" s="38" t="str">
        <x:f>IF(OR(M62="",I62="",I62&lt;=0),"",M62/I62)</x:f>
      </x:c>
      <x:c r="W62" s="38" t="str">
        <x:f>IF(OR(N62="",I62="",I62&lt;=0),"",N62/I62)</x:f>
      </x:c>
      <x:c r="X62" s="38" t="str">
        <x:f>IF(OR(O62="",F62="",F62&lt;=0),"",O62/F62)</x:f>
      </x:c>
      <x:c r="Y62" s="40" t="str">
        <x:f>IF(OR(A62="",B62=""),"",B62-A62)</x:f>
      </x:c>
      <x:c r="Z62" s="8" t="str">
        <x:f>IF(COUNTA(A62:R62)=0,"",IF(OR(A62="",B62="",C62="",G62="",H62=""),"INCOMPLETO",IF(B62&lt;A62,"DATA INVÁLIDA",IF(AND(G62="7d",OR(Y62&lt;7,Y62&gt;10)),"FORA DA JANELA",IF(AND(G62="30d",OR(Y62&lt;30,Y62&gt;35)),"FORA DA JANELA",IF(COUNTIFS($C$2:$C$201,C62,$G$2:$G$201,G62)&gt;1,"DUPLICADO","OK"))))))</x:f>
      </x:c>
      <x:c r="AA62" s="44" t="n">
        <x:f>IF(ISNUMBER(H62),1,0)</x:f>
        <x:v>0</x:v>
      </x:c>
      <x:c r="AB62" s="44" t="n">
        <x:f>IF(ISNUMBER(I62),1,0)</x:f>
        <x:v>0</x:v>
      </x:c>
      <x:c r="AC62" s="44" t="n">
        <x:f>IF(ISNUMBER(T62),1,0)</x:f>
        <x:v>0</x:v>
      </x:c>
      <x:c r="AD62" s="44" t="n">
        <x:f>IF(ISNUMBER(U62),1,0)</x:f>
        <x:v>0</x:v>
      </x:c>
      <x:c r="AE62" s="44" t="n">
        <x:f>IF(ISNUMBER(V62),1,0)</x:f>
        <x:v>0</x:v>
      </x:c>
      <x:c r="AF62" s="44" t="n">
        <x:f>IF(ISNUMBER(W62),1,0)</x:f>
        <x:v>0</x:v>
      </x:c>
      <x:c r="AG62" s="44" t="n">
        <x:f>IF(ISNUMBER(X62),1,0)</x:f>
        <x:v>0</x:v>
      </x:c>
      <x:c r="AH62" s="44" t="n">
        <x:f>IF(ISNUMBER(P62),1,0)</x:f>
        <x:v>0</x:v>
      </x:c>
      <x:c r="AI62" s="44" t="n">
        <x:f>IF(ISNUMBER(O62),1,0)</x:f>
        <x:v>0</x:v>
      </x:c>
    </x:row>
    <x:row r="63" ht="22" customHeight="1">
      <x:c r="A63" s="26"/>
      <x:c r="B63" s="26"/>
      <x:c r="C63" s="14"/>
      <x:c r="D63" s="14"/>
      <x:c r="E63" s="14"/>
      <x:c r="F63" s="28"/>
      <x:c r="G63" s="14"/>
      <x:c r="H63" s="30"/>
      <x:c r="I63" s="30"/>
      <x:c r="J63" s="30"/>
      <x:c r="K63" s="30"/>
      <x:c r="L63" s="30"/>
      <x:c r="M63" s="30"/>
      <x:c r="N63" s="30"/>
      <x:c r="O63" s="32"/>
      <x:c r="P63" s="34"/>
      <x:c r="Q63" s="14"/>
      <x:c r="R63" s="14"/>
      <x:c r="S63" s="36" t="str">
        <x:f>IF(COUNT(J63:M63)&lt;4,"",SUM(J63:M63))</x:f>
      </x:c>
      <x:c r="T63" s="38" t="str">
        <x:f>IF(OR(S63="",I63="",I63&lt;=0),"",S63/I63)</x:f>
      </x:c>
      <x:c r="U63" s="38" t="str">
        <x:f>IF(OR(L63="",I63="",I63&lt;=0),"",L63/I63)</x:f>
      </x:c>
      <x:c r="V63" s="38" t="str">
        <x:f>IF(OR(M63="",I63="",I63&lt;=0),"",M63/I63)</x:f>
      </x:c>
      <x:c r="W63" s="38" t="str">
        <x:f>IF(OR(N63="",I63="",I63&lt;=0),"",N63/I63)</x:f>
      </x:c>
      <x:c r="X63" s="38" t="str">
        <x:f>IF(OR(O63="",F63="",F63&lt;=0),"",O63/F63)</x:f>
      </x:c>
      <x:c r="Y63" s="40" t="str">
        <x:f>IF(OR(A63="",B63=""),"",B63-A63)</x:f>
      </x:c>
      <x:c r="Z63" s="8" t="str">
        <x:f>IF(COUNTA(A63:R63)=0,"",IF(OR(A63="",B63="",C63="",G63="",H63=""),"INCOMPLETO",IF(B63&lt;A63,"DATA INVÁLIDA",IF(AND(G63="7d",OR(Y63&lt;7,Y63&gt;10)),"FORA DA JANELA",IF(AND(G63="30d",OR(Y63&lt;30,Y63&gt;35)),"FORA DA JANELA",IF(COUNTIFS($C$2:$C$201,C63,$G$2:$G$201,G63)&gt;1,"DUPLICADO","OK"))))))</x:f>
      </x:c>
      <x:c r="AA63" s="44" t="n">
        <x:f>IF(ISNUMBER(H63),1,0)</x:f>
        <x:v>0</x:v>
      </x:c>
      <x:c r="AB63" s="44" t="n">
        <x:f>IF(ISNUMBER(I63),1,0)</x:f>
        <x:v>0</x:v>
      </x:c>
      <x:c r="AC63" s="44" t="n">
        <x:f>IF(ISNUMBER(T63),1,0)</x:f>
        <x:v>0</x:v>
      </x:c>
      <x:c r="AD63" s="44" t="n">
        <x:f>IF(ISNUMBER(U63),1,0)</x:f>
        <x:v>0</x:v>
      </x:c>
      <x:c r="AE63" s="44" t="n">
        <x:f>IF(ISNUMBER(V63),1,0)</x:f>
        <x:v>0</x:v>
      </x:c>
      <x:c r="AF63" s="44" t="n">
        <x:f>IF(ISNUMBER(W63),1,0)</x:f>
        <x:v>0</x:v>
      </x:c>
      <x:c r="AG63" s="44" t="n">
        <x:f>IF(ISNUMBER(X63),1,0)</x:f>
        <x:v>0</x:v>
      </x:c>
      <x:c r="AH63" s="44" t="n">
        <x:f>IF(ISNUMBER(P63),1,0)</x:f>
        <x:v>0</x:v>
      </x:c>
      <x:c r="AI63" s="44" t="n">
        <x:f>IF(ISNUMBER(O63),1,0)</x:f>
        <x:v>0</x:v>
      </x:c>
    </x:row>
    <x:row r="64" ht="22" customHeight="1">
      <x:c r="A64" s="26"/>
      <x:c r="B64" s="26"/>
      <x:c r="C64" s="14"/>
      <x:c r="D64" s="14"/>
      <x:c r="E64" s="14"/>
      <x:c r="F64" s="28"/>
      <x:c r="G64" s="14"/>
      <x:c r="H64" s="30"/>
      <x:c r="I64" s="30"/>
      <x:c r="J64" s="30"/>
      <x:c r="K64" s="30"/>
      <x:c r="L64" s="30"/>
      <x:c r="M64" s="30"/>
      <x:c r="N64" s="30"/>
      <x:c r="O64" s="32"/>
      <x:c r="P64" s="34"/>
      <x:c r="Q64" s="14"/>
      <x:c r="R64" s="14"/>
      <x:c r="S64" s="36" t="str">
        <x:f>IF(COUNT(J64:M64)&lt;4,"",SUM(J64:M64))</x:f>
      </x:c>
      <x:c r="T64" s="38" t="str">
        <x:f>IF(OR(S64="",I64="",I64&lt;=0),"",S64/I64)</x:f>
      </x:c>
      <x:c r="U64" s="38" t="str">
        <x:f>IF(OR(L64="",I64="",I64&lt;=0),"",L64/I64)</x:f>
      </x:c>
      <x:c r="V64" s="38" t="str">
        <x:f>IF(OR(M64="",I64="",I64&lt;=0),"",M64/I64)</x:f>
      </x:c>
      <x:c r="W64" s="38" t="str">
        <x:f>IF(OR(N64="",I64="",I64&lt;=0),"",N64/I64)</x:f>
      </x:c>
      <x:c r="X64" s="38" t="str">
        <x:f>IF(OR(O64="",F64="",F64&lt;=0),"",O64/F64)</x:f>
      </x:c>
      <x:c r="Y64" s="40" t="str">
        <x:f>IF(OR(A64="",B64=""),"",B64-A64)</x:f>
      </x:c>
      <x:c r="Z64" s="8" t="str">
        <x:f>IF(COUNTA(A64:R64)=0,"",IF(OR(A64="",B64="",C64="",G64="",H64=""),"INCOMPLETO",IF(B64&lt;A64,"DATA INVÁLIDA",IF(AND(G64="7d",OR(Y64&lt;7,Y64&gt;10)),"FORA DA JANELA",IF(AND(G64="30d",OR(Y64&lt;30,Y64&gt;35)),"FORA DA JANELA",IF(COUNTIFS($C$2:$C$201,C64,$G$2:$G$201,G64)&gt;1,"DUPLICADO","OK"))))))</x:f>
      </x:c>
      <x:c r="AA64" s="44" t="n">
        <x:f>IF(ISNUMBER(H64),1,0)</x:f>
        <x:v>0</x:v>
      </x:c>
      <x:c r="AB64" s="44" t="n">
        <x:f>IF(ISNUMBER(I64),1,0)</x:f>
        <x:v>0</x:v>
      </x:c>
      <x:c r="AC64" s="44" t="n">
        <x:f>IF(ISNUMBER(T64),1,0)</x:f>
        <x:v>0</x:v>
      </x:c>
      <x:c r="AD64" s="44" t="n">
        <x:f>IF(ISNUMBER(U64),1,0)</x:f>
        <x:v>0</x:v>
      </x:c>
      <x:c r="AE64" s="44" t="n">
        <x:f>IF(ISNUMBER(V64),1,0)</x:f>
        <x:v>0</x:v>
      </x:c>
      <x:c r="AF64" s="44" t="n">
        <x:f>IF(ISNUMBER(W64),1,0)</x:f>
        <x:v>0</x:v>
      </x:c>
      <x:c r="AG64" s="44" t="n">
        <x:f>IF(ISNUMBER(X64),1,0)</x:f>
        <x:v>0</x:v>
      </x:c>
      <x:c r="AH64" s="44" t="n">
        <x:f>IF(ISNUMBER(P64),1,0)</x:f>
        <x:v>0</x:v>
      </x:c>
      <x:c r="AI64" s="44" t="n">
        <x:f>IF(ISNUMBER(O64),1,0)</x:f>
        <x:v>0</x:v>
      </x:c>
    </x:row>
    <x:row r="65" ht="22" customHeight="1">
      <x:c r="A65" s="26"/>
      <x:c r="B65" s="26"/>
      <x:c r="C65" s="14"/>
      <x:c r="D65" s="14"/>
      <x:c r="E65" s="14"/>
      <x:c r="F65" s="28"/>
      <x:c r="G65" s="14"/>
      <x:c r="H65" s="30"/>
      <x:c r="I65" s="30"/>
      <x:c r="J65" s="30"/>
      <x:c r="K65" s="30"/>
      <x:c r="L65" s="30"/>
      <x:c r="M65" s="30"/>
      <x:c r="N65" s="30"/>
      <x:c r="O65" s="32"/>
      <x:c r="P65" s="34"/>
      <x:c r="Q65" s="14"/>
      <x:c r="R65" s="14"/>
      <x:c r="S65" s="36" t="str">
        <x:f>IF(COUNT(J65:M65)&lt;4,"",SUM(J65:M65))</x:f>
      </x:c>
      <x:c r="T65" s="38" t="str">
        <x:f>IF(OR(S65="",I65="",I65&lt;=0),"",S65/I65)</x:f>
      </x:c>
      <x:c r="U65" s="38" t="str">
        <x:f>IF(OR(L65="",I65="",I65&lt;=0),"",L65/I65)</x:f>
      </x:c>
      <x:c r="V65" s="38" t="str">
        <x:f>IF(OR(M65="",I65="",I65&lt;=0),"",M65/I65)</x:f>
      </x:c>
      <x:c r="W65" s="38" t="str">
        <x:f>IF(OR(N65="",I65="",I65&lt;=0),"",N65/I65)</x:f>
      </x:c>
      <x:c r="X65" s="38" t="str">
        <x:f>IF(OR(O65="",F65="",F65&lt;=0),"",O65/F65)</x:f>
      </x:c>
      <x:c r="Y65" s="40" t="str">
        <x:f>IF(OR(A65="",B65=""),"",B65-A65)</x:f>
      </x:c>
      <x:c r="Z65" s="8" t="str">
        <x:f>IF(COUNTA(A65:R65)=0,"",IF(OR(A65="",B65="",C65="",G65="",H65=""),"INCOMPLETO",IF(B65&lt;A65,"DATA INVÁLIDA",IF(AND(G65="7d",OR(Y65&lt;7,Y65&gt;10)),"FORA DA JANELA",IF(AND(G65="30d",OR(Y65&lt;30,Y65&gt;35)),"FORA DA JANELA",IF(COUNTIFS($C$2:$C$201,C65,$G$2:$G$201,G65)&gt;1,"DUPLICADO","OK"))))))</x:f>
      </x:c>
      <x:c r="AA65" s="44" t="n">
        <x:f>IF(ISNUMBER(H65),1,0)</x:f>
        <x:v>0</x:v>
      </x:c>
      <x:c r="AB65" s="44" t="n">
        <x:f>IF(ISNUMBER(I65),1,0)</x:f>
        <x:v>0</x:v>
      </x:c>
      <x:c r="AC65" s="44" t="n">
        <x:f>IF(ISNUMBER(T65),1,0)</x:f>
        <x:v>0</x:v>
      </x:c>
      <x:c r="AD65" s="44" t="n">
        <x:f>IF(ISNUMBER(U65),1,0)</x:f>
        <x:v>0</x:v>
      </x:c>
      <x:c r="AE65" s="44" t="n">
        <x:f>IF(ISNUMBER(V65),1,0)</x:f>
        <x:v>0</x:v>
      </x:c>
      <x:c r="AF65" s="44" t="n">
        <x:f>IF(ISNUMBER(W65),1,0)</x:f>
        <x:v>0</x:v>
      </x:c>
      <x:c r="AG65" s="44" t="n">
        <x:f>IF(ISNUMBER(X65),1,0)</x:f>
        <x:v>0</x:v>
      </x:c>
      <x:c r="AH65" s="44" t="n">
        <x:f>IF(ISNUMBER(P65),1,0)</x:f>
        <x:v>0</x:v>
      </x:c>
      <x:c r="AI65" s="44" t="n">
        <x:f>IF(ISNUMBER(O65),1,0)</x:f>
        <x:v>0</x:v>
      </x:c>
    </x:row>
    <x:row r="66" ht="22" customHeight="1">
      <x:c r="A66" s="26"/>
      <x:c r="B66" s="26"/>
      <x:c r="C66" s="14"/>
      <x:c r="D66" s="14"/>
      <x:c r="E66" s="14"/>
      <x:c r="F66" s="28"/>
      <x:c r="G66" s="14"/>
      <x:c r="H66" s="30"/>
      <x:c r="I66" s="30"/>
      <x:c r="J66" s="30"/>
      <x:c r="K66" s="30"/>
      <x:c r="L66" s="30"/>
      <x:c r="M66" s="30"/>
      <x:c r="N66" s="30"/>
      <x:c r="O66" s="32"/>
      <x:c r="P66" s="34"/>
      <x:c r="Q66" s="14"/>
      <x:c r="R66" s="14"/>
      <x:c r="S66" s="36" t="str">
        <x:f>IF(COUNT(J66:M66)&lt;4,"",SUM(J66:M66))</x:f>
      </x:c>
      <x:c r="T66" s="38" t="str">
        <x:f>IF(OR(S66="",I66="",I66&lt;=0),"",S66/I66)</x:f>
      </x:c>
      <x:c r="U66" s="38" t="str">
        <x:f>IF(OR(L66="",I66="",I66&lt;=0),"",L66/I66)</x:f>
      </x:c>
      <x:c r="V66" s="38" t="str">
        <x:f>IF(OR(M66="",I66="",I66&lt;=0),"",M66/I66)</x:f>
      </x:c>
      <x:c r="W66" s="38" t="str">
        <x:f>IF(OR(N66="",I66="",I66&lt;=0),"",N66/I66)</x:f>
      </x:c>
      <x:c r="X66" s="38" t="str">
        <x:f>IF(OR(O66="",F66="",F66&lt;=0),"",O66/F66)</x:f>
      </x:c>
      <x:c r="Y66" s="40" t="str">
        <x:f>IF(OR(A66="",B66=""),"",B66-A66)</x:f>
      </x:c>
      <x:c r="Z66" s="8" t="str">
        <x:f>IF(COUNTA(A66:R66)=0,"",IF(OR(A66="",B66="",C66="",G66="",H66=""),"INCOMPLETO",IF(B66&lt;A66,"DATA INVÁLIDA",IF(AND(G66="7d",OR(Y66&lt;7,Y66&gt;10)),"FORA DA JANELA",IF(AND(G66="30d",OR(Y66&lt;30,Y66&gt;35)),"FORA DA JANELA",IF(COUNTIFS($C$2:$C$201,C66,$G$2:$G$201,G66)&gt;1,"DUPLICADO","OK"))))))</x:f>
      </x:c>
      <x:c r="AA66" s="44" t="n">
        <x:f>IF(ISNUMBER(H66),1,0)</x:f>
        <x:v>0</x:v>
      </x:c>
      <x:c r="AB66" s="44" t="n">
        <x:f>IF(ISNUMBER(I66),1,0)</x:f>
        <x:v>0</x:v>
      </x:c>
      <x:c r="AC66" s="44" t="n">
        <x:f>IF(ISNUMBER(T66),1,0)</x:f>
        <x:v>0</x:v>
      </x:c>
      <x:c r="AD66" s="44" t="n">
        <x:f>IF(ISNUMBER(U66),1,0)</x:f>
        <x:v>0</x:v>
      </x:c>
      <x:c r="AE66" s="44" t="n">
        <x:f>IF(ISNUMBER(V66),1,0)</x:f>
        <x:v>0</x:v>
      </x:c>
      <x:c r="AF66" s="44" t="n">
        <x:f>IF(ISNUMBER(W66),1,0)</x:f>
        <x:v>0</x:v>
      </x:c>
      <x:c r="AG66" s="44" t="n">
        <x:f>IF(ISNUMBER(X66),1,0)</x:f>
        <x:v>0</x:v>
      </x:c>
      <x:c r="AH66" s="44" t="n">
        <x:f>IF(ISNUMBER(P66),1,0)</x:f>
        <x:v>0</x:v>
      </x:c>
      <x:c r="AI66" s="44" t="n">
        <x:f>IF(ISNUMBER(O66),1,0)</x:f>
        <x:v>0</x:v>
      </x:c>
    </x:row>
    <x:row r="67" ht="22" customHeight="1">
      <x:c r="A67" s="26"/>
      <x:c r="B67" s="26"/>
      <x:c r="C67" s="14"/>
      <x:c r="D67" s="14"/>
      <x:c r="E67" s="14"/>
      <x:c r="F67" s="28"/>
      <x:c r="G67" s="14"/>
      <x:c r="H67" s="30"/>
      <x:c r="I67" s="30"/>
      <x:c r="J67" s="30"/>
      <x:c r="K67" s="30"/>
      <x:c r="L67" s="30"/>
      <x:c r="M67" s="30"/>
      <x:c r="N67" s="30"/>
      <x:c r="O67" s="32"/>
      <x:c r="P67" s="34"/>
      <x:c r="Q67" s="14"/>
      <x:c r="R67" s="14"/>
      <x:c r="S67" s="36" t="str">
        <x:f>IF(COUNT(J67:M67)&lt;4,"",SUM(J67:M67))</x:f>
      </x:c>
      <x:c r="T67" s="38" t="str">
        <x:f>IF(OR(S67="",I67="",I67&lt;=0),"",S67/I67)</x:f>
      </x:c>
      <x:c r="U67" s="38" t="str">
        <x:f>IF(OR(L67="",I67="",I67&lt;=0),"",L67/I67)</x:f>
      </x:c>
      <x:c r="V67" s="38" t="str">
        <x:f>IF(OR(M67="",I67="",I67&lt;=0),"",M67/I67)</x:f>
      </x:c>
      <x:c r="W67" s="38" t="str">
        <x:f>IF(OR(N67="",I67="",I67&lt;=0),"",N67/I67)</x:f>
      </x:c>
      <x:c r="X67" s="38" t="str">
        <x:f>IF(OR(O67="",F67="",F67&lt;=0),"",O67/F67)</x:f>
      </x:c>
      <x:c r="Y67" s="40" t="str">
        <x:f>IF(OR(A67="",B67=""),"",B67-A67)</x:f>
      </x:c>
      <x:c r="Z67" s="8" t="str">
        <x:f>IF(COUNTA(A67:R67)=0,"",IF(OR(A67="",B67="",C67="",G67="",H67=""),"INCOMPLETO",IF(B67&lt;A67,"DATA INVÁLIDA",IF(AND(G67="7d",OR(Y67&lt;7,Y67&gt;10)),"FORA DA JANELA",IF(AND(G67="30d",OR(Y67&lt;30,Y67&gt;35)),"FORA DA JANELA",IF(COUNTIFS($C$2:$C$201,C67,$G$2:$G$201,G67)&gt;1,"DUPLICADO","OK"))))))</x:f>
      </x:c>
      <x:c r="AA67" s="44" t="n">
        <x:f>IF(ISNUMBER(H67),1,0)</x:f>
        <x:v>0</x:v>
      </x:c>
      <x:c r="AB67" s="44" t="n">
        <x:f>IF(ISNUMBER(I67),1,0)</x:f>
        <x:v>0</x:v>
      </x:c>
      <x:c r="AC67" s="44" t="n">
        <x:f>IF(ISNUMBER(T67),1,0)</x:f>
        <x:v>0</x:v>
      </x:c>
      <x:c r="AD67" s="44" t="n">
        <x:f>IF(ISNUMBER(U67),1,0)</x:f>
        <x:v>0</x:v>
      </x:c>
      <x:c r="AE67" s="44" t="n">
        <x:f>IF(ISNUMBER(V67),1,0)</x:f>
        <x:v>0</x:v>
      </x:c>
      <x:c r="AF67" s="44" t="n">
        <x:f>IF(ISNUMBER(W67),1,0)</x:f>
        <x:v>0</x:v>
      </x:c>
      <x:c r="AG67" s="44" t="n">
        <x:f>IF(ISNUMBER(X67),1,0)</x:f>
        <x:v>0</x:v>
      </x:c>
      <x:c r="AH67" s="44" t="n">
        <x:f>IF(ISNUMBER(P67),1,0)</x:f>
        <x:v>0</x:v>
      </x:c>
      <x:c r="AI67" s="44" t="n">
        <x:f>IF(ISNUMBER(O67),1,0)</x:f>
        <x:v>0</x:v>
      </x:c>
    </x:row>
    <x:row r="68" ht="22" customHeight="1">
      <x:c r="A68" s="26"/>
      <x:c r="B68" s="26"/>
      <x:c r="C68" s="14"/>
      <x:c r="D68" s="14"/>
      <x:c r="E68" s="14"/>
      <x:c r="F68" s="28"/>
      <x:c r="G68" s="14"/>
      <x:c r="H68" s="30"/>
      <x:c r="I68" s="30"/>
      <x:c r="J68" s="30"/>
      <x:c r="K68" s="30"/>
      <x:c r="L68" s="30"/>
      <x:c r="M68" s="30"/>
      <x:c r="N68" s="30"/>
      <x:c r="O68" s="32"/>
      <x:c r="P68" s="34"/>
      <x:c r="Q68" s="14"/>
      <x:c r="R68" s="14"/>
      <x:c r="S68" s="36" t="str">
        <x:f>IF(COUNT(J68:M68)&lt;4,"",SUM(J68:M68))</x:f>
      </x:c>
      <x:c r="T68" s="38" t="str">
        <x:f>IF(OR(S68="",I68="",I68&lt;=0),"",S68/I68)</x:f>
      </x:c>
      <x:c r="U68" s="38" t="str">
        <x:f>IF(OR(L68="",I68="",I68&lt;=0),"",L68/I68)</x:f>
      </x:c>
      <x:c r="V68" s="38" t="str">
        <x:f>IF(OR(M68="",I68="",I68&lt;=0),"",M68/I68)</x:f>
      </x:c>
      <x:c r="W68" s="38" t="str">
        <x:f>IF(OR(N68="",I68="",I68&lt;=0),"",N68/I68)</x:f>
      </x:c>
      <x:c r="X68" s="38" t="str">
        <x:f>IF(OR(O68="",F68="",F68&lt;=0),"",O68/F68)</x:f>
      </x:c>
      <x:c r="Y68" s="40" t="str">
        <x:f>IF(OR(A68="",B68=""),"",B68-A68)</x:f>
      </x:c>
      <x:c r="Z68" s="8" t="str">
        <x:f>IF(COUNTA(A68:R68)=0,"",IF(OR(A68="",B68="",C68="",G68="",H68=""),"INCOMPLETO",IF(B68&lt;A68,"DATA INVÁLIDA",IF(AND(G68="7d",OR(Y68&lt;7,Y68&gt;10)),"FORA DA JANELA",IF(AND(G68="30d",OR(Y68&lt;30,Y68&gt;35)),"FORA DA JANELA",IF(COUNTIFS($C$2:$C$201,C68,$G$2:$G$201,G68)&gt;1,"DUPLICADO","OK"))))))</x:f>
      </x:c>
      <x:c r="AA68" s="44" t="n">
        <x:f>IF(ISNUMBER(H68),1,0)</x:f>
        <x:v>0</x:v>
      </x:c>
      <x:c r="AB68" s="44" t="n">
        <x:f>IF(ISNUMBER(I68),1,0)</x:f>
        <x:v>0</x:v>
      </x:c>
      <x:c r="AC68" s="44" t="n">
        <x:f>IF(ISNUMBER(T68),1,0)</x:f>
        <x:v>0</x:v>
      </x:c>
      <x:c r="AD68" s="44" t="n">
        <x:f>IF(ISNUMBER(U68),1,0)</x:f>
        <x:v>0</x:v>
      </x:c>
      <x:c r="AE68" s="44" t="n">
        <x:f>IF(ISNUMBER(V68),1,0)</x:f>
        <x:v>0</x:v>
      </x:c>
      <x:c r="AF68" s="44" t="n">
        <x:f>IF(ISNUMBER(W68),1,0)</x:f>
        <x:v>0</x:v>
      </x:c>
      <x:c r="AG68" s="44" t="n">
        <x:f>IF(ISNUMBER(X68),1,0)</x:f>
        <x:v>0</x:v>
      </x:c>
      <x:c r="AH68" s="44" t="n">
        <x:f>IF(ISNUMBER(P68),1,0)</x:f>
        <x:v>0</x:v>
      </x:c>
      <x:c r="AI68" s="44" t="n">
        <x:f>IF(ISNUMBER(O68),1,0)</x:f>
        <x:v>0</x:v>
      </x:c>
    </x:row>
    <x:row r="69" ht="22" customHeight="1">
      <x:c r="A69" s="26"/>
      <x:c r="B69" s="26"/>
      <x:c r="C69" s="14"/>
      <x:c r="D69" s="14"/>
      <x:c r="E69" s="14"/>
      <x:c r="F69" s="28"/>
      <x:c r="G69" s="14"/>
      <x:c r="H69" s="30"/>
      <x:c r="I69" s="30"/>
      <x:c r="J69" s="30"/>
      <x:c r="K69" s="30"/>
      <x:c r="L69" s="30"/>
      <x:c r="M69" s="30"/>
      <x:c r="N69" s="30"/>
      <x:c r="O69" s="32"/>
      <x:c r="P69" s="34"/>
      <x:c r="Q69" s="14"/>
      <x:c r="R69" s="14"/>
      <x:c r="S69" s="36" t="str">
        <x:f>IF(COUNT(J69:M69)&lt;4,"",SUM(J69:M69))</x:f>
      </x:c>
      <x:c r="T69" s="38" t="str">
        <x:f>IF(OR(S69="",I69="",I69&lt;=0),"",S69/I69)</x:f>
      </x:c>
      <x:c r="U69" s="38" t="str">
        <x:f>IF(OR(L69="",I69="",I69&lt;=0),"",L69/I69)</x:f>
      </x:c>
      <x:c r="V69" s="38" t="str">
        <x:f>IF(OR(M69="",I69="",I69&lt;=0),"",M69/I69)</x:f>
      </x:c>
      <x:c r="W69" s="38" t="str">
        <x:f>IF(OR(N69="",I69="",I69&lt;=0),"",N69/I69)</x:f>
      </x:c>
      <x:c r="X69" s="38" t="str">
        <x:f>IF(OR(O69="",F69="",F69&lt;=0),"",O69/F69)</x:f>
      </x:c>
      <x:c r="Y69" s="40" t="str">
        <x:f>IF(OR(A69="",B69=""),"",B69-A69)</x:f>
      </x:c>
      <x:c r="Z69" s="8" t="str">
        <x:f>IF(COUNTA(A69:R69)=0,"",IF(OR(A69="",B69="",C69="",G69="",H69=""),"INCOMPLETO",IF(B69&lt;A69,"DATA INVÁLIDA",IF(AND(G69="7d",OR(Y69&lt;7,Y69&gt;10)),"FORA DA JANELA",IF(AND(G69="30d",OR(Y69&lt;30,Y69&gt;35)),"FORA DA JANELA",IF(COUNTIFS($C$2:$C$201,C69,$G$2:$G$201,G69)&gt;1,"DUPLICADO","OK"))))))</x:f>
      </x:c>
      <x:c r="AA69" s="44" t="n">
        <x:f>IF(ISNUMBER(H69),1,0)</x:f>
        <x:v>0</x:v>
      </x:c>
      <x:c r="AB69" s="44" t="n">
        <x:f>IF(ISNUMBER(I69),1,0)</x:f>
        <x:v>0</x:v>
      </x:c>
      <x:c r="AC69" s="44" t="n">
        <x:f>IF(ISNUMBER(T69),1,0)</x:f>
        <x:v>0</x:v>
      </x:c>
      <x:c r="AD69" s="44" t="n">
        <x:f>IF(ISNUMBER(U69),1,0)</x:f>
        <x:v>0</x:v>
      </x:c>
      <x:c r="AE69" s="44" t="n">
        <x:f>IF(ISNUMBER(V69),1,0)</x:f>
        <x:v>0</x:v>
      </x:c>
      <x:c r="AF69" s="44" t="n">
        <x:f>IF(ISNUMBER(W69),1,0)</x:f>
        <x:v>0</x:v>
      </x:c>
      <x:c r="AG69" s="44" t="n">
        <x:f>IF(ISNUMBER(X69),1,0)</x:f>
        <x:v>0</x:v>
      </x:c>
      <x:c r="AH69" s="44" t="n">
        <x:f>IF(ISNUMBER(P69),1,0)</x:f>
        <x:v>0</x:v>
      </x:c>
      <x:c r="AI69" s="44" t="n">
        <x:f>IF(ISNUMBER(O69),1,0)</x:f>
        <x:v>0</x:v>
      </x:c>
    </x:row>
    <x:row r="70" ht="22" customHeight="1">
      <x:c r="A70" s="26"/>
      <x:c r="B70" s="26"/>
      <x:c r="C70" s="14"/>
      <x:c r="D70" s="14"/>
      <x:c r="E70" s="14"/>
      <x:c r="F70" s="28"/>
      <x:c r="G70" s="14"/>
      <x:c r="H70" s="30"/>
      <x:c r="I70" s="30"/>
      <x:c r="J70" s="30"/>
      <x:c r="K70" s="30"/>
      <x:c r="L70" s="30"/>
      <x:c r="M70" s="30"/>
      <x:c r="N70" s="30"/>
      <x:c r="O70" s="32"/>
      <x:c r="P70" s="34"/>
      <x:c r="Q70" s="14"/>
      <x:c r="R70" s="14"/>
      <x:c r="S70" s="36" t="str">
        <x:f>IF(COUNT(J70:M70)&lt;4,"",SUM(J70:M70))</x:f>
      </x:c>
      <x:c r="T70" s="38" t="str">
        <x:f>IF(OR(S70="",I70="",I70&lt;=0),"",S70/I70)</x:f>
      </x:c>
      <x:c r="U70" s="38" t="str">
        <x:f>IF(OR(L70="",I70="",I70&lt;=0),"",L70/I70)</x:f>
      </x:c>
      <x:c r="V70" s="38" t="str">
        <x:f>IF(OR(M70="",I70="",I70&lt;=0),"",M70/I70)</x:f>
      </x:c>
      <x:c r="W70" s="38" t="str">
        <x:f>IF(OR(N70="",I70="",I70&lt;=0),"",N70/I70)</x:f>
      </x:c>
      <x:c r="X70" s="38" t="str">
        <x:f>IF(OR(O70="",F70="",F70&lt;=0),"",O70/F70)</x:f>
      </x:c>
      <x:c r="Y70" s="40" t="str">
        <x:f>IF(OR(A70="",B70=""),"",B70-A70)</x:f>
      </x:c>
      <x:c r="Z70" s="8" t="str">
        <x:f>IF(COUNTA(A70:R70)=0,"",IF(OR(A70="",B70="",C70="",G70="",H70=""),"INCOMPLETO",IF(B70&lt;A70,"DATA INVÁLIDA",IF(AND(G70="7d",OR(Y70&lt;7,Y70&gt;10)),"FORA DA JANELA",IF(AND(G70="30d",OR(Y70&lt;30,Y70&gt;35)),"FORA DA JANELA",IF(COUNTIFS($C$2:$C$201,C70,$G$2:$G$201,G70)&gt;1,"DUPLICADO","OK"))))))</x:f>
      </x:c>
      <x:c r="AA70" s="44" t="n">
        <x:f>IF(ISNUMBER(H70),1,0)</x:f>
        <x:v>0</x:v>
      </x:c>
      <x:c r="AB70" s="44" t="n">
        <x:f>IF(ISNUMBER(I70),1,0)</x:f>
        <x:v>0</x:v>
      </x:c>
      <x:c r="AC70" s="44" t="n">
        <x:f>IF(ISNUMBER(T70),1,0)</x:f>
        <x:v>0</x:v>
      </x:c>
      <x:c r="AD70" s="44" t="n">
        <x:f>IF(ISNUMBER(U70),1,0)</x:f>
        <x:v>0</x:v>
      </x:c>
      <x:c r="AE70" s="44" t="n">
        <x:f>IF(ISNUMBER(V70),1,0)</x:f>
        <x:v>0</x:v>
      </x:c>
      <x:c r="AF70" s="44" t="n">
        <x:f>IF(ISNUMBER(W70),1,0)</x:f>
        <x:v>0</x:v>
      </x:c>
      <x:c r="AG70" s="44" t="n">
        <x:f>IF(ISNUMBER(X70),1,0)</x:f>
        <x:v>0</x:v>
      </x:c>
      <x:c r="AH70" s="44" t="n">
        <x:f>IF(ISNUMBER(P70),1,0)</x:f>
        <x:v>0</x:v>
      </x:c>
      <x:c r="AI70" s="44" t="n">
        <x:f>IF(ISNUMBER(O70),1,0)</x:f>
        <x:v>0</x:v>
      </x:c>
    </x:row>
    <x:row r="71" ht="22" customHeight="1">
      <x:c r="A71" s="26"/>
      <x:c r="B71" s="26"/>
      <x:c r="C71" s="14"/>
      <x:c r="D71" s="14"/>
      <x:c r="E71" s="14"/>
      <x:c r="F71" s="28"/>
      <x:c r="G71" s="14"/>
      <x:c r="H71" s="30"/>
      <x:c r="I71" s="30"/>
      <x:c r="J71" s="30"/>
      <x:c r="K71" s="30"/>
      <x:c r="L71" s="30"/>
      <x:c r="M71" s="30"/>
      <x:c r="N71" s="30"/>
      <x:c r="O71" s="32"/>
      <x:c r="P71" s="34"/>
      <x:c r="Q71" s="14"/>
      <x:c r="R71" s="14"/>
      <x:c r="S71" s="36" t="str">
        <x:f>IF(COUNT(J71:M71)&lt;4,"",SUM(J71:M71))</x:f>
      </x:c>
      <x:c r="T71" s="38" t="str">
        <x:f>IF(OR(S71="",I71="",I71&lt;=0),"",S71/I71)</x:f>
      </x:c>
      <x:c r="U71" s="38" t="str">
        <x:f>IF(OR(L71="",I71="",I71&lt;=0),"",L71/I71)</x:f>
      </x:c>
      <x:c r="V71" s="38" t="str">
        <x:f>IF(OR(M71="",I71="",I71&lt;=0),"",M71/I71)</x:f>
      </x:c>
      <x:c r="W71" s="38" t="str">
        <x:f>IF(OR(N71="",I71="",I71&lt;=0),"",N71/I71)</x:f>
      </x:c>
      <x:c r="X71" s="38" t="str">
        <x:f>IF(OR(O71="",F71="",F71&lt;=0),"",O71/F71)</x:f>
      </x:c>
      <x:c r="Y71" s="40" t="str">
        <x:f>IF(OR(A71="",B71=""),"",B71-A71)</x:f>
      </x:c>
      <x:c r="Z71" s="8" t="str">
        <x:f>IF(COUNTA(A71:R71)=0,"",IF(OR(A71="",B71="",C71="",G71="",H71=""),"INCOMPLETO",IF(B71&lt;A71,"DATA INVÁLIDA",IF(AND(G71="7d",OR(Y71&lt;7,Y71&gt;10)),"FORA DA JANELA",IF(AND(G71="30d",OR(Y71&lt;30,Y71&gt;35)),"FORA DA JANELA",IF(COUNTIFS($C$2:$C$201,C71,$G$2:$G$201,G71)&gt;1,"DUPLICADO","OK"))))))</x:f>
      </x:c>
      <x:c r="AA71" s="44" t="n">
        <x:f>IF(ISNUMBER(H71),1,0)</x:f>
        <x:v>0</x:v>
      </x:c>
      <x:c r="AB71" s="44" t="n">
        <x:f>IF(ISNUMBER(I71),1,0)</x:f>
        <x:v>0</x:v>
      </x:c>
      <x:c r="AC71" s="44" t="n">
        <x:f>IF(ISNUMBER(T71),1,0)</x:f>
        <x:v>0</x:v>
      </x:c>
      <x:c r="AD71" s="44" t="n">
        <x:f>IF(ISNUMBER(U71),1,0)</x:f>
        <x:v>0</x:v>
      </x:c>
      <x:c r="AE71" s="44" t="n">
        <x:f>IF(ISNUMBER(V71),1,0)</x:f>
        <x:v>0</x:v>
      </x:c>
      <x:c r="AF71" s="44" t="n">
        <x:f>IF(ISNUMBER(W71),1,0)</x:f>
        <x:v>0</x:v>
      </x:c>
      <x:c r="AG71" s="44" t="n">
        <x:f>IF(ISNUMBER(X71),1,0)</x:f>
        <x:v>0</x:v>
      </x:c>
      <x:c r="AH71" s="44" t="n">
        <x:f>IF(ISNUMBER(P71),1,0)</x:f>
        <x:v>0</x:v>
      </x:c>
      <x:c r="AI71" s="44" t="n">
        <x:f>IF(ISNUMBER(O71),1,0)</x:f>
        <x:v>0</x:v>
      </x:c>
    </x:row>
    <x:row r="72" ht="22" customHeight="1">
      <x:c r="A72" s="26"/>
      <x:c r="B72" s="26"/>
      <x:c r="C72" s="14"/>
      <x:c r="D72" s="14"/>
      <x:c r="E72" s="14"/>
      <x:c r="F72" s="28"/>
      <x:c r="G72" s="14"/>
      <x:c r="H72" s="30"/>
      <x:c r="I72" s="30"/>
      <x:c r="J72" s="30"/>
      <x:c r="K72" s="30"/>
      <x:c r="L72" s="30"/>
      <x:c r="M72" s="30"/>
      <x:c r="N72" s="30"/>
      <x:c r="O72" s="32"/>
      <x:c r="P72" s="34"/>
      <x:c r="Q72" s="14"/>
      <x:c r="R72" s="14"/>
      <x:c r="S72" s="36" t="str">
        <x:f>IF(COUNT(J72:M72)&lt;4,"",SUM(J72:M72))</x:f>
      </x:c>
      <x:c r="T72" s="38" t="str">
        <x:f>IF(OR(S72="",I72="",I72&lt;=0),"",S72/I72)</x:f>
      </x:c>
      <x:c r="U72" s="38" t="str">
        <x:f>IF(OR(L72="",I72="",I72&lt;=0),"",L72/I72)</x:f>
      </x:c>
      <x:c r="V72" s="38" t="str">
        <x:f>IF(OR(M72="",I72="",I72&lt;=0),"",M72/I72)</x:f>
      </x:c>
      <x:c r="W72" s="38" t="str">
        <x:f>IF(OR(N72="",I72="",I72&lt;=0),"",N72/I72)</x:f>
      </x:c>
      <x:c r="X72" s="38" t="str">
        <x:f>IF(OR(O72="",F72="",F72&lt;=0),"",O72/F72)</x:f>
      </x:c>
      <x:c r="Y72" s="40" t="str">
        <x:f>IF(OR(A72="",B72=""),"",B72-A72)</x:f>
      </x:c>
      <x:c r="Z72" s="8" t="str">
        <x:f>IF(COUNTA(A72:R72)=0,"",IF(OR(A72="",B72="",C72="",G72="",H72=""),"INCOMPLETO",IF(B72&lt;A72,"DATA INVÁLIDA",IF(AND(G72="7d",OR(Y72&lt;7,Y72&gt;10)),"FORA DA JANELA",IF(AND(G72="30d",OR(Y72&lt;30,Y72&gt;35)),"FORA DA JANELA",IF(COUNTIFS($C$2:$C$201,C72,$G$2:$G$201,G72)&gt;1,"DUPLICADO","OK"))))))</x:f>
      </x:c>
      <x:c r="AA72" s="44" t="n">
        <x:f>IF(ISNUMBER(H72),1,0)</x:f>
        <x:v>0</x:v>
      </x:c>
      <x:c r="AB72" s="44" t="n">
        <x:f>IF(ISNUMBER(I72),1,0)</x:f>
        <x:v>0</x:v>
      </x:c>
      <x:c r="AC72" s="44" t="n">
        <x:f>IF(ISNUMBER(T72),1,0)</x:f>
        <x:v>0</x:v>
      </x:c>
      <x:c r="AD72" s="44" t="n">
        <x:f>IF(ISNUMBER(U72),1,0)</x:f>
        <x:v>0</x:v>
      </x:c>
      <x:c r="AE72" s="44" t="n">
        <x:f>IF(ISNUMBER(V72),1,0)</x:f>
        <x:v>0</x:v>
      </x:c>
      <x:c r="AF72" s="44" t="n">
        <x:f>IF(ISNUMBER(W72),1,0)</x:f>
        <x:v>0</x:v>
      </x:c>
      <x:c r="AG72" s="44" t="n">
        <x:f>IF(ISNUMBER(X72),1,0)</x:f>
        <x:v>0</x:v>
      </x:c>
      <x:c r="AH72" s="44" t="n">
        <x:f>IF(ISNUMBER(P72),1,0)</x:f>
        <x:v>0</x:v>
      </x:c>
      <x:c r="AI72" s="44" t="n">
        <x:f>IF(ISNUMBER(O72),1,0)</x:f>
        <x:v>0</x:v>
      </x:c>
    </x:row>
    <x:row r="73" ht="22" customHeight="1">
      <x:c r="A73" s="26"/>
      <x:c r="B73" s="26"/>
      <x:c r="C73" s="14"/>
      <x:c r="D73" s="14"/>
      <x:c r="E73" s="14"/>
      <x:c r="F73" s="28"/>
      <x:c r="G73" s="14"/>
      <x:c r="H73" s="30"/>
      <x:c r="I73" s="30"/>
      <x:c r="J73" s="30"/>
      <x:c r="K73" s="30"/>
      <x:c r="L73" s="30"/>
      <x:c r="M73" s="30"/>
      <x:c r="N73" s="30"/>
      <x:c r="O73" s="32"/>
      <x:c r="P73" s="34"/>
      <x:c r="Q73" s="14"/>
      <x:c r="R73" s="14"/>
      <x:c r="S73" s="36" t="str">
        <x:f>IF(COUNT(J73:M73)&lt;4,"",SUM(J73:M73))</x:f>
      </x:c>
      <x:c r="T73" s="38" t="str">
        <x:f>IF(OR(S73="",I73="",I73&lt;=0),"",S73/I73)</x:f>
      </x:c>
      <x:c r="U73" s="38" t="str">
        <x:f>IF(OR(L73="",I73="",I73&lt;=0),"",L73/I73)</x:f>
      </x:c>
      <x:c r="V73" s="38" t="str">
        <x:f>IF(OR(M73="",I73="",I73&lt;=0),"",M73/I73)</x:f>
      </x:c>
      <x:c r="W73" s="38" t="str">
        <x:f>IF(OR(N73="",I73="",I73&lt;=0),"",N73/I73)</x:f>
      </x:c>
      <x:c r="X73" s="38" t="str">
        <x:f>IF(OR(O73="",F73="",F73&lt;=0),"",O73/F73)</x:f>
      </x:c>
      <x:c r="Y73" s="40" t="str">
        <x:f>IF(OR(A73="",B73=""),"",B73-A73)</x:f>
      </x:c>
      <x:c r="Z73" s="8" t="str">
        <x:f>IF(COUNTA(A73:R73)=0,"",IF(OR(A73="",B73="",C73="",G73="",H73=""),"INCOMPLETO",IF(B73&lt;A73,"DATA INVÁLIDA",IF(AND(G73="7d",OR(Y73&lt;7,Y73&gt;10)),"FORA DA JANELA",IF(AND(G73="30d",OR(Y73&lt;30,Y73&gt;35)),"FORA DA JANELA",IF(COUNTIFS($C$2:$C$201,C73,$G$2:$G$201,G73)&gt;1,"DUPLICADO","OK"))))))</x:f>
      </x:c>
      <x:c r="AA73" s="44" t="n">
        <x:f>IF(ISNUMBER(H73),1,0)</x:f>
        <x:v>0</x:v>
      </x:c>
      <x:c r="AB73" s="44" t="n">
        <x:f>IF(ISNUMBER(I73),1,0)</x:f>
        <x:v>0</x:v>
      </x:c>
      <x:c r="AC73" s="44" t="n">
        <x:f>IF(ISNUMBER(T73),1,0)</x:f>
        <x:v>0</x:v>
      </x:c>
      <x:c r="AD73" s="44" t="n">
        <x:f>IF(ISNUMBER(U73),1,0)</x:f>
        <x:v>0</x:v>
      </x:c>
      <x:c r="AE73" s="44" t="n">
        <x:f>IF(ISNUMBER(V73),1,0)</x:f>
        <x:v>0</x:v>
      </x:c>
      <x:c r="AF73" s="44" t="n">
        <x:f>IF(ISNUMBER(W73),1,0)</x:f>
        <x:v>0</x:v>
      </x:c>
      <x:c r="AG73" s="44" t="n">
        <x:f>IF(ISNUMBER(X73),1,0)</x:f>
        <x:v>0</x:v>
      </x:c>
      <x:c r="AH73" s="44" t="n">
        <x:f>IF(ISNUMBER(P73),1,0)</x:f>
        <x:v>0</x:v>
      </x:c>
      <x:c r="AI73" s="44" t="n">
        <x:f>IF(ISNUMBER(O73),1,0)</x:f>
        <x:v>0</x:v>
      </x:c>
    </x:row>
    <x:row r="74" ht="22" customHeight="1">
      <x:c r="A74" s="26"/>
      <x:c r="B74" s="26"/>
      <x:c r="C74" s="14"/>
      <x:c r="D74" s="14"/>
      <x:c r="E74" s="14"/>
      <x:c r="F74" s="28"/>
      <x:c r="G74" s="14"/>
      <x:c r="H74" s="30"/>
      <x:c r="I74" s="30"/>
      <x:c r="J74" s="30"/>
      <x:c r="K74" s="30"/>
      <x:c r="L74" s="30"/>
      <x:c r="M74" s="30"/>
      <x:c r="N74" s="30"/>
      <x:c r="O74" s="32"/>
      <x:c r="P74" s="34"/>
      <x:c r="Q74" s="14"/>
      <x:c r="R74" s="14"/>
      <x:c r="S74" s="36" t="str">
        <x:f>IF(COUNT(J74:M74)&lt;4,"",SUM(J74:M74))</x:f>
      </x:c>
      <x:c r="T74" s="38" t="str">
        <x:f>IF(OR(S74="",I74="",I74&lt;=0),"",S74/I74)</x:f>
      </x:c>
      <x:c r="U74" s="38" t="str">
        <x:f>IF(OR(L74="",I74="",I74&lt;=0),"",L74/I74)</x:f>
      </x:c>
      <x:c r="V74" s="38" t="str">
        <x:f>IF(OR(M74="",I74="",I74&lt;=0),"",M74/I74)</x:f>
      </x:c>
      <x:c r="W74" s="38" t="str">
        <x:f>IF(OR(N74="",I74="",I74&lt;=0),"",N74/I74)</x:f>
      </x:c>
      <x:c r="X74" s="38" t="str">
        <x:f>IF(OR(O74="",F74="",F74&lt;=0),"",O74/F74)</x:f>
      </x:c>
      <x:c r="Y74" s="40" t="str">
        <x:f>IF(OR(A74="",B74=""),"",B74-A74)</x:f>
      </x:c>
      <x:c r="Z74" s="8" t="str">
        <x:f>IF(COUNTA(A74:R74)=0,"",IF(OR(A74="",B74="",C74="",G74="",H74=""),"INCOMPLETO",IF(B74&lt;A74,"DATA INVÁLIDA",IF(AND(G74="7d",OR(Y74&lt;7,Y74&gt;10)),"FORA DA JANELA",IF(AND(G74="30d",OR(Y74&lt;30,Y74&gt;35)),"FORA DA JANELA",IF(COUNTIFS($C$2:$C$201,C74,$G$2:$G$201,G74)&gt;1,"DUPLICADO","OK"))))))</x:f>
      </x:c>
      <x:c r="AA74" s="44" t="n">
        <x:f>IF(ISNUMBER(H74),1,0)</x:f>
        <x:v>0</x:v>
      </x:c>
      <x:c r="AB74" s="44" t="n">
        <x:f>IF(ISNUMBER(I74),1,0)</x:f>
        <x:v>0</x:v>
      </x:c>
      <x:c r="AC74" s="44" t="n">
        <x:f>IF(ISNUMBER(T74),1,0)</x:f>
        <x:v>0</x:v>
      </x:c>
      <x:c r="AD74" s="44" t="n">
        <x:f>IF(ISNUMBER(U74),1,0)</x:f>
        <x:v>0</x:v>
      </x:c>
      <x:c r="AE74" s="44" t="n">
        <x:f>IF(ISNUMBER(V74),1,0)</x:f>
        <x:v>0</x:v>
      </x:c>
      <x:c r="AF74" s="44" t="n">
        <x:f>IF(ISNUMBER(W74),1,0)</x:f>
        <x:v>0</x:v>
      </x:c>
      <x:c r="AG74" s="44" t="n">
        <x:f>IF(ISNUMBER(X74),1,0)</x:f>
        <x:v>0</x:v>
      </x:c>
      <x:c r="AH74" s="44" t="n">
        <x:f>IF(ISNUMBER(P74),1,0)</x:f>
        <x:v>0</x:v>
      </x:c>
      <x:c r="AI74" s="44" t="n">
        <x:f>IF(ISNUMBER(O74),1,0)</x:f>
        <x:v>0</x:v>
      </x:c>
    </x:row>
    <x:row r="75" ht="22" customHeight="1">
      <x:c r="A75" s="26"/>
      <x:c r="B75" s="26"/>
      <x:c r="C75" s="14"/>
      <x:c r="D75" s="14"/>
      <x:c r="E75" s="14"/>
      <x:c r="F75" s="28"/>
      <x:c r="G75" s="14"/>
      <x:c r="H75" s="30"/>
      <x:c r="I75" s="30"/>
      <x:c r="J75" s="30"/>
      <x:c r="K75" s="30"/>
      <x:c r="L75" s="30"/>
      <x:c r="M75" s="30"/>
      <x:c r="N75" s="30"/>
      <x:c r="O75" s="32"/>
      <x:c r="P75" s="34"/>
      <x:c r="Q75" s="14"/>
      <x:c r="R75" s="14"/>
      <x:c r="S75" s="36" t="str">
        <x:f>IF(COUNT(J75:M75)&lt;4,"",SUM(J75:M75))</x:f>
      </x:c>
      <x:c r="T75" s="38" t="str">
        <x:f>IF(OR(S75="",I75="",I75&lt;=0),"",S75/I75)</x:f>
      </x:c>
      <x:c r="U75" s="38" t="str">
        <x:f>IF(OR(L75="",I75="",I75&lt;=0),"",L75/I75)</x:f>
      </x:c>
      <x:c r="V75" s="38" t="str">
        <x:f>IF(OR(M75="",I75="",I75&lt;=0),"",M75/I75)</x:f>
      </x:c>
      <x:c r="W75" s="38" t="str">
        <x:f>IF(OR(N75="",I75="",I75&lt;=0),"",N75/I75)</x:f>
      </x:c>
      <x:c r="X75" s="38" t="str">
        <x:f>IF(OR(O75="",F75="",F75&lt;=0),"",O75/F75)</x:f>
      </x:c>
      <x:c r="Y75" s="40" t="str">
        <x:f>IF(OR(A75="",B75=""),"",B75-A75)</x:f>
      </x:c>
      <x:c r="Z75" s="8" t="str">
        <x:f>IF(COUNTA(A75:R75)=0,"",IF(OR(A75="",B75="",C75="",G75="",H75=""),"INCOMPLETO",IF(B75&lt;A75,"DATA INVÁLIDA",IF(AND(G75="7d",OR(Y75&lt;7,Y75&gt;10)),"FORA DA JANELA",IF(AND(G75="30d",OR(Y75&lt;30,Y75&gt;35)),"FORA DA JANELA",IF(COUNTIFS($C$2:$C$201,C75,$G$2:$G$201,G75)&gt;1,"DUPLICADO","OK"))))))</x:f>
      </x:c>
      <x:c r="AA75" s="44" t="n">
        <x:f>IF(ISNUMBER(H75),1,0)</x:f>
        <x:v>0</x:v>
      </x:c>
      <x:c r="AB75" s="44" t="n">
        <x:f>IF(ISNUMBER(I75),1,0)</x:f>
        <x:v>0</x:v>
      </x:c>
      <x:c r="AC75" s="44" t="n">
        <x:f>IF(ISNUMBER(T75),1,0)</x:f>
        <x:v>0</x:v>
      </x:c>
      <x:c r="AD75" s="44" t="n">
        <x:f>IF(ISNUMBER(U75),1,0)</x:f>
        <x:v>0</x:v>
      </x:c>
      <x:c r="AE75" s="44" t="n">
        <x:f>IF(ISNUMBER(V75),1,0)</x:f>
        <x:v>0</x:v>
      </x:c>
      <x:c r="AF75" s="44" t="n">
        <x:f>IF(ISNUMBER(W75),1,0)</x:f>
        <x:v>0</x:v>
      </x:c>
      <x:c r="AG75" s="44" t="n">
        <x:f>IF(ISNUMBER(X75),1,0)</x:f>
        <x:v>0</x:v>
      </x:c>
      <x:c r="AH75" s="44" t="n">
        <x:f>IF(ISNUMBER(P75),1,0)</x:f>
        <x:v>0</x:v>
      </x:c>
      <x:c r="AI75" s="44" t="n">
        <x:f>IF(ISNUMBER(O75),1,0)</x:f>
        <x:v>0</x:v>
      </x:c>
    </x:row>
    <x:row r="76" ht="22" customHeight="1">
      <x:c r="A76" s="26"/>
      <x:c r="B76" s="26"/>
      <x:c r="C76" s="14"/>
      <x:c r="D76" s="14"/>
      <x:c r="E76" s="14"/>
      <x:c r="F76" s="28"/>
      <x:c r="G76" s="14"/>
      <x:c r="H76" s="30"/>
      <x:c r="I76" s="30"/>
      <x:c r="J76" s="30"/>
      <x:c r="K76" s="30"/>
      <x:c r="L76" s="30"/>
      <x:c r="M76" s="30"/>
      <x:c r="N76" s="30"/>
      <x:c r="O76" s="32"/>
      <x:c r="P76" s="34"/>
      <x:c r="Q76" s="14"/>
      <x:c r="R76" s="14"/>
      <x:c r="S76" s="36" t="str">
        <x:f>IF(COUNT(J76:M76)&lt;4,"",SUM(J76:M76))</x:f>
      </x:c>
      <x:c r="T76" s="38" t="str">
        <x:f>IF(OR(S76="",I76="",I76&lt;=0),"",S76/I76)</x:f>
      </x:c>
      <x:c r="U76" s="38" t="str">
        <x:f>IF(OR(L76="",I76="",I76&lt;=0),"",L76/I76)</x:f>
      </x:c>
      <x:c r="V76" s="38" t="str">
        <x:f>IF(OR(M76="",I76="",I76&lt;=0),"",M76/I76)</x:f>
      </x:c>
      <x:c r="W76" s="38" t="str">
        <x:f>IF(OR(N76="",I76="",I76&lt;=0),"",N76/I76)</x:f>
      </x:c>
      <x:c r="X76" s="38" t="str">
        <x:f>IF(OR(O76="",F76="",F76&lt;=0),"",O76/F76)</x:f>
      </x:c>
      <x:c r="Y76" s="40" t="str">
        <x:f>IF(OR(A76="",B76=""),"",B76-A76)</x:f>
      </x:c>
      <x:c r="Z76" s="8" t="str">
        <x:f>IF(COUNTA(A76:R76)=0,"",IF(OR(A76="",B76="",C76="",G76="",H76=""),"INCOMPLETO",IF(B76&lt;A76,"DATA INVÁLIDA",IF(AND(G76="7d",OR(Y76&lt;7,Y76&gt;10)),"FORA DA JANELA",IF(AND(G76="30d",OR(Y76&lt;30,Y76&gt;35)),"FORA DA JANELA",IF(COUNTIFS($C$2:$C$201,C76,$G$2:$G$201,G76)&gt;1,"DUPLICADO","OK"))))))</x:f>
      </x:c>
      <x:c r="AA76" s="44" t="n">
        <x:f>IF(ISNUMBER(H76),1,0)</x:f>
        <x:v>0</x:v>
      </x:c>
      <x:c r="AB76" s="44" t="n">
        <x:f>IF(ISNUMBER(I76),1,0)</x:f>
        <x:v>0</x:v>
      </x:c>
      <x:c r="AC76" s="44" t="n">
        <x:f>IF(ISNUMBER(T76),1,0)</x:f>
        <x:v>0</x:v>
      </x:c>
      <x:c r="AD76" s="44" t="n">
        <x:f>IF(ISNUMBER(U76),1,0)</x:f>
        <x:v>0</x:v>
      </x:c>
      <x:c r="AE76" s="44" t="n">
        <x:f>IF(ISNUMBER(V76),1,0)</x:f>
        <x:v>0</x:v>
      </x:c>
      <x:c r="AF76" s="44" t="n">
        <x:f>IF(ISNUMBER(W76),1,0)</x:f>
        <x:v>0</x:v>
      </x:c>
      <x:c r="AG76" s="44" t="n">
        <x:f>IF(ISNUMBER(X76),1,0)</x:f>
        <x:v>0</x:v>
      </x:c>
      <x:c r="AH76" s="44" t="n">
        <x:f>IF(ISNUMBER(P76),1,0)</x:f>
        <x:v>0</x:v>
      </x:c>
      <x:c r="AI76" s="44" t="n">
        <x:f>IF(ISNUMBER(O76),1,0)</x:f>
        <x:v>0</x:v>
      </x:c>
    </x:row>
    <x:row r="77" ht="22" customHeight="1">
      <x:c r="A77" s="26"/>
      <x:c r="B77" s="26"/>
      <x:c r="C77" s="14"/>
      <x:c r="D77" s="14"/>
      <x:c r="E77" s="14"/>
      <x:c r="F77" s="28"/>
      <x:c r="G77" s="14"/>
      <x:c r="H77" s="30"/>
      <x:c r="I77" s="30"/>
      <x:c r="J77" s="30"/>
      <x:c r="K77" s="30"/>
      <x:c r="L77" s="30"/>
      <x:c r="M77" s="30"/>
      <x:c r="N77" s="30"/>
      <x:c r="O77" s="32"/>
      <x:c r="P77" s="34"/>
      <x:c r="Q77" s="14"/>
      <x:c r="R77" s="14"/>
      <x:c r="S77" s="36" t="str">
        <x:f>IF(COUNT(J77:M77)&lt;4,"",SUM(J77:M77))</x:f>
      </x:c>
      <x:c r="T77" s="38" t="str">
        <x:f>IF(OR(S77="",I77="",I77&lt;=0),"",S77/I77)</x:f>
      </x:c>
      <x:c r="U77" s="38" t="str">
        <x:f>IF(OR(L77="",I77="",I77&lt;=0),"",L77/I77)</x:f>
      </x:c>
      <x:c r="V77" s="38" t="str">
        <x:f>IF(OR(M77="",I77="",I77&lt;=0),"",M77/I77)</x:f>
      </x:c>
      <x:c r="W77" s="38" t="str">
        <x:f>IF(OR(N77="",I77="",I77&lt;=0),"",N77/I77)</x:f>
      </x:c>
      <x:c r="X77" s="38" t="str">
        <x:f>IF(OR(O77="",F77="",F77&lt;=0),"",O77/F77)</x:f>
      </x:c>
      <x:c r="Y77" s="40" t="str">
        <x:f>IF(OR(A77="",B77=""),"",B77-A77)</x:f>
      </x:c>
      <x:c r="Z77" s="8" t="str">
        <x:f>IF(COUNTA(A77:R77)=0,"",IF(OR(A77="",B77="",C77="",G77="",H77=""),"INCOMPLETO",IF(B77&lt;A77,"DATA INVÁLIDA",IF(AND(G77="7d",OR(Y77&lt;7,Y77&gt;10)),"FORA DA JANELA",IF(AND(G77="30d",OR(Y77&lt;30,Y77&gt;35)),"FORA DA JANELA",IF(COUNTIFS($C$2:$C$201,C77,$G$2:$G$201,G77)&gt;1,"DUPLICADO","OK"))))))</x:f>
      </x:c>
      <x:c r="AA77" s="44" t="n">
        <x:f>IF(ISNUMBER(H77),1,0)</x:f>
        <x:v>0</x:v>
      </x:c>
      <x:c r="AB77" s="44" t="n">
        <x:f>IF(ISNUMBER(I77),1,0)</x:f>
        <x:v>0</x:v>
      </x:c>
      <x:c r="AC77" s="44" t="n">
        <x:f>IF(ISNUMBER(T77),1,0)</x:f>
        <x:v>0</x:v>
      </x:c>
      <x:c r="AD77" s="44" t="n">
        <x:f>IF(ISNUMBER(U77),1,0)</x:f>
        <x:v>0</x:v>
      </x:c>
      <x:c r="AE77" s="44" t="n">
        <x:f>IF(ISNUMBER(V77),1,0)</x:f>
        <x:v>0</x:v>
      </x:c>
      <x:c r="AF77" s="44" t="n">
        <x:f>IF(ISNUMBER(W77),1,0)</x:f>
        <x:v>0</x:v>
      </x:c>
      <x:c r="AG77" s="44" t="n">
        <x:f>IF(ISNUMBER(X77),1,0)</x:f>
        <x:v>0</x:v>
      </x:c>
      <x:c r="AH77" s="44" t="n">
        <x:f>IF(ISNUMBER(P77),1,0)</x:f>
        <x:v>0</x:v>
      </x:c>
      <x:c r="AI77" s="44" t="n">
        <x:f>IF(ISNUMBER(O77),1,0)</x:f>
        <x:v>0</x:v>
      </x:c>
    </x:row>
    <x:row r="78" ht="22" customHeight="1">
      <x:c r="A78" s="26"/>
      <x:c r="B78" s="26"/>
      <x:c r="C78" s="14"/>
      <x:c r="D78" s="14"/>
      <x:c r="E78" s="14"/>
      <x:c r="F78" s="28"/>
      <x:c r="G78" s="14"/>
      <x:c r="H78" s="30"/>
      <x:c r="I78" s="30"/>
      <x:c r="J78" s="30"/>
      <x:c r="K78" s="30"/>
      <x:c r="L78" s="30"/>
      <x:c r="M78" s="30"/>
      <x:c r="N78" s="30"/>
      <x:c r="O78" s="32"/>
      <x:c r="P78" s="34"/>
      <x:c r="Q78" s="14"/>
      <x:c r="R78" s="14"/>
      <x:c r="S78" s="36" t="str">
        <x:f>IF(COUNT(J78:M78)&lt;4,"",SUM(J78:M78))</x:f>
      </x:c>
      <x:c r="T78" s="38" t="str">
        <x:f>IF(OR(S78="",I78="",I78&lt;=0),"",S78/I78)</x:f>
      </x:c>
      <x:c r="U78" s="38" t="str">
        <x:f>IF(OR(L78="",I78="",I78&lt;=0),"",L78/I78)</x:f>
      </x:c>
      <x:c r="V78" s="38" t="str">
        <x:f>IF(OR(M78="",I78="",I78&lt;=0),"",M78/I78)</x:f>
      </x:c>
      <x:c r="W78" s="38" t="str">
        <x:f>IF(OR(N78="",I78="",I78&lt;=0),"",N78/I78)</x:f>
      </x:c>
      <x:c r="X78" s="38" t="str">
        <x:f>IF(OR(O78="",F78="",F78&lt;=0),"",O78/F78)</x:f>
      </x:c>
      <x:c r="Y78" s="40" t="str">
        <x:f>IF(OR(A78="",B78=""),"",B78-A78)</x:f>
      </x:c>
      <x:c r="Z78" s="8" t="str">
        <x:f>IF(COUNTA(A78:R78)=0,"",IF(OR(A78="",B78="",C78="",G78="",H78=""),"INCOMPLETO",IF(B78&lt;A78,"DATA INVÁLIDA",IF(AND(G78="7d",OR(Y78&lt;7,Y78&gt;10)),"FORA DA JANELA",IF(AND(G78="30d",OR(Y78&lt;30,Y78&gt;35)),"FORA DA JANELA",IF(COUNTIFS($C$2:$C$201,C78,$G$2:$G$201,G78)&gt;1,"DUPLICADO","OK"))))))</x:f>
      </x:c>
      <x:c r="AA78" s="44" t="n">
        <x:f>IF(ISNUMBER(H78),1,0)</x:f>
        <x:v>0</x:v>
      </x:c>
      <x:c r="AB78" s="44" t="n">
        <x:f>IF(ISNUMBER(I78),1,0)</x:f>
        <x:v>0</x:v>
      </x:c>
      <x:c r="AC78" s="44" t="n">
        <x:f>IF(ISNUMBER(T78),1,0)</x:f>
        <x:v>0</x:v>
      </x:c>
      <x:c r="AD78" s="44" t="n">
        <x:f>IF(ISNUMBER(U78),1,0)</x:f>
        <x:v>0</x:v>
      </x:c>
      <x:c r="AE78" s="44" t="n">
        <x:f>IF(ISNUMBER(V78),1,0)</x:f>
        <x:v>0</x:v>
      </x:c>
      <x:c r="AF78" s="44" t="n">
        <x:f>IF(ISNUMBER(W78),1,0)</x:f>
        <x:v>0</x:v>
      </x:c>
      <x:c r="AG78" s="44" t="n">
        <x:f>IF(ISNUMBER(X78),1,0)</x:f>
        <x:v>0</x:v>
      </x:c>
      <x:c r="AH78" s="44" t="n">
        <x:f>IF(ISNUMBER(P78),1,0)</x:f>
        <x:v>0</x:v>
      </x:c>
      <x:c r="AI78" s="44" t="n">
        <x:f>IF(ISNUMBER(O78),1,0)</x:f>
        <x:v>0</x:v>
      </x:c>
    </x:row>
    <x:row r="79" ht="22" customHeight="1">
      <x:c r="A79" s="26"/>
      <x:c r="B79" s="26"/>
      <x:c r="C79" s="14"/>
      <x:c r="D79" s="14"/>
      <x:c r="E79" s="14"/>
      <x:c r="F79" s="28"/>
      <x:c r="G79" s="14"/>
      <x:c r="H79" s="30"/>
      <x:c r="I79" s="30"/>
      <x:c r="J79" s="30"/>
      <x:c r="K79" s="30"/>
      <x:c r="L79" s="30"/>
      <x:c r="M79" s="30"/>
      <x:c r="N79" s="30"/>
      <x:c r="O79" s="32"/>
      <x:c r="P79" s="34"/>
      <x:c r="Q79" s="14"/>
      <x:c r="R79" s="14"/>
      <x:c r="S79" s="36" t="str">
        <x:f>IF(COUNT(J79:M79)&lt;4,"",SUM(J79:M79))</x:f>
      </x:c>
      <x:c r="T79" s="38" t="str">
        <x:f>IF(OR(S79="",I79="",I79&lt;=0),"",S79/I79)</x:f>
      </x:c>
      <x:c r="U79" s="38" t="str">
        <x:f>IF(OR(L79="",I79="",I79&lt;=0),"",L79/I79)</x:f>
      </x:c>
      <x:c r="V79" s="38" t="str">
        <x:f>IF(OR(M79="",I79="",I79&lt;=0),"",M79/I79)</x:f>
      </x:c>
      <x:c r="W79" s="38" t="str">
        <x:f>IF(OR(N79="",I79="",I79&lt;=0),"",N79/I79)</x:f>
      </x:c>
      <x:c r="X79" s="38" t="str">
        <x:f>IF(OR(O79="",F79="",F79&lt;=0),"",O79/F79)</x:f>
      </x:c>
      <x:c r="Y79" s="40" t="str">
        <x:f>IF(OR(A79="",B79=""),"",B79-A79)</x:f>
      </x:c>
      <x:c r="Z79" s="8" t="str">
        <x:f>IF(COUNTA(A79:R79)=0,"",IF(OR(A79="",B79="",C79="",G79="",H79=""),"INCOMPLETO",IF(B79&lt;A79,"DATA INVÁLIDA",IF(AND(G79="7d",OR(Y79&lt;7,Y79&gt;10)),"FORA DA JANELA",IF(AND(G79="30d",OR(Y79&lt;30,Y79&gt;35)),"FORA DA JANELA",IF(COUNTIFS($C$2:$C$201,C79,$G$2:$G$201,G79)&gt;1,"DUPLICADO","OK"))))))</x:f>
      </x:c>
      <x:c r="AA79" s="44" t="n">
        <x:f>IF(ISNUMBER(H79),1,0)</x:f>
        <x:v>0</x:v>
      </x:c>
      <x:c r="AB79" s="44" t="n">
        <x:f>IF(ISNUMBER(I79),1,0)</x:f>
        <x:v>0</x:v>
      </x:c>
      <x:c r="AC79" s="44" t="n">
        <x:f>IF(ISNUMBER(T79),1,0)</x:f>
        <x:v>0</x:v>
      </x:c>
      <x:c r="AD79" s="44" t="n">
        <x:f>IF(ISNUMBER(U79),1,0)</x:f>
        <x:v>0</x:v>
      </x:c>
      <x:c r="AE79" s="44" t="n">
        <x:f>IF(ISNUMBER(V79),1,0)</x:f>
        <x:v>0</x:v>
      </x:c>
      <x:c r="AF79" s="44" t="n">
        <x:f>IF(ISNUMBER(W79),1,0)</x:f>
        <x:v>0</x:v>
      </x:c>
      <x:c r="AG79" s="44" t="n">
        <x:f>IF(ISNUMBER(X79),1,0)</x:f>
        <x:v>0</x:v>
      </x:c>
      <x:c r="AH79" s="44" t="n">
        <x:f>IF(ISNUMBER(P79),1,0)</x:f>
        <x:v>0</x:v>
      </x:c>
      <x:c r="AI79" s="44" t="n">
        <x:f>IF(ISNUMBER(O79),1,0)</x:f>
        <x:v>0</x:v>
      </x:c>
    </x:row>
    <x:row r="80" ht="22" customHeight="1">
      <x:c r="A80" s="26"/>
      <x:c r="B80" s="26"/>
      <x:c r="C80" s="14"/>
      <x:c r="D80" s="14"/>
      <x:c r="E80" s="14"/>
      <x:c r="F80" s="28"/>
      <x:c r="G80" s="14"/>
      <x:c r="H80" s="30"/>
      <x:c r="I80" s="30"/>
      <x:c r="J80" s="30"/>
      <x:c r="K80" s="30"/>
      <x:c r="L80" s="30"/>
      <x:c r="M80" s="30"/>
      <x:c r="N80" s="30"/>
      <x:c r="O80" s="32"/>
      <x:c r="P80" s="34"/>
      <x:c r="Q80" s="14"/>
      <x:c r="R80" s="14"/>
      <x:c r="S80" s="36" t="str">
        <x:f>IF(COUNT(J80:M80)&lt;4,"",SUM(J80:M80))</x:f>
      </x:c>
      <x:c r="T80" s="38" t="str">
        <x:f>IF(OR(S80="",I80="",I80&lt;=0),"",S80/I80)</x:f>
      </x:c>
      <x:c r="U80" s="38" t="str">
        <x:f>IF(OR(L80="",I80="",I80&lt;=0),"",L80/I80)</x:f>
      </x:c>
      <x:c r="V80" s="38" t="str">
        <x:f>IF(OR(M80="",I80="",I80&lt;=0),"",M80/I80)</x:f>
      </x:c>
      <x:c r="W80" s="38" t="str">
        <x:f>IF(OR(N80="",I80="",I80&lt;=0),"",N80/I80)</x:f>
      </x:c>
      <x:c r="X80" s="38" t="str">
        <x:f>IF(OR(O80="",F80="",F80&lt;=0),"",O80/F80)</x:f>
      </x:c>
      <x:c r="Y80" s="40" t="str">
        <x:f>IF(OR(A80="",B80=""),"",B80-A80)</x:f>
      </x:c>
      <x:c r="Z80" s="8" t="str">
        <x:f>IF(COUNTA(A80:R80)=0,"",IF(OR(A80="",B80="",C80="",G80="",H80=""),"INCOMPLETO",IF(B80&lt;A80,"DATA INVÁLIDA",IF(AND(G80="7d",OR(Y80&lt;7,Y80&gt;10)),"FORA DA JANELA",IF(AND(G80="30d",OR(Y80&lt;30,Y80&gt;35)),"FORA DA JANELA",IF(COUNTIFS($C$2:$C$201,C80,$G$2:$G$201,G80)&gt;1,"DUPLICADO","OK"))))))</x:f>
      </x:c>
      <x:c r="AA80" s="44" t="n">
        <x:f>IF(ISNUMBER(H80),1,0)</x:f>
        <x:v>0</x:v>
      </x:c>
      <x:c r="AB80" s="44" t="n">
        <x:f>IF(ISNUMBER(I80),1,0)</x:f>
        <x:v>0</x:v>
      </x:c>
      <x:c r="AC80" s="44" t="n">
        <x:f>IF(ISNUMBER(T80),1,0)</x:f>
        <x:v>0</x:v>
      </x:c>
      <x:c r="AD80" s="44" t="n">
        <x:f>IF(ISNUMBER(U80),1,0)</x:f>
        <x:v>0</x:v>
      </x:c>
      <x:c r="AE80" s="44" t="n">
        <x:f>IF(ISNUMBER(V80),1,0)</x:f>
        <x:v>0</x:v>
      </x:c>
      <x:c r="AF80" s="44" t="n">
        <x:f>IF(ISNUMBER(W80),1,0)</x:f>
        <x:v>0</x:v>
      </x:c>
      <x:c r="AG80" s="44" t="n">
        <x:f>IF(ISNUMBER(X80),1,0)</x:f>
        <x:v>0</x:v>
      </x:c>
      <x:c r="AH80" s="44" t="n">
        <x:f>IF(ISNUMBER(P80),1,0)</x:f>
        <x:v>0</x:v>
      </x:c>
      <x:c r="AI80" s="44" t="n">
        <x:f>IF(ISNUMBER(O80),1,0)</x:f>
        <x:v>0</x:v>
      </x:c>
    </x:row>
    <x:row r="81" ht="22" customHeight="1">
      <x:c r="A81" s="26"/>
      <x:c r="B81" s="26"/>
      <x:c r="C81" s="14"/>
      <x:c r="D81" s="14"/>
      <x:c r="E81" s="14"/>
      <x:c r="F81" s="28"/>
      <x:c r="G81" s="14"/>
      <x:c r="H81" s="30"/>
      <x:c r="I81" s="30"/>
      <x:c r="J81" s="30"/>
      <x:c r="K81" s="30"/>
      <x:c r="L81" s="30"/>
      <x:c r="M81" s="30"/>
      <x:c r="N81" s="30"/>
      <x:c r="O81" s="32"/>
      <x:c r="P81" s="34"/>
      <x:c r="Q81" s="14"/>
      <x:c r="R81" s="14"/>
      <x:c r="S81" s="36" t="str">
        <x:f>IF(COUNT(J81:M81)&lt;4,"",SUM(J81:M81))</x:f>
      </x:c>
      <x:c r="T81" s="38" t="str">
        <x:f>IF(OR(S81="",I81="",I81&lt;=0),"",S81/I81)</x:f>
      </x:c>
      <x:c r="U81" s="38" t="str">
        <x:f>IF(OR(L81="",I81="",I81&lt;=0),"",L81/I81)</x:f>
      </x:c>
      <x:c r="V81" s="38" t="str">
        <x:f>IF(OR(M81="",I81="",I81&lt;=0),"",M81/I81)</x:f>
      </x:c>
      <x:c r="W81" s="38" t="str">
        <x:f>IF(OR(N81="",I81="",I81&lt;=0),"",N81/I81)</x:f>
      </x:c>
      <x:c r="X81" s="38" t="str">
        <x:f>IF(OR(O81="",F81="",F81&lt;=0),"",O81/F81)</x:f>
      </x:c>
      <x:c r="Y81" s="40" t="str">
        <x:f>IF(OR(A81="",B81=""),"",B81-A81)</x:f>
      </x:c>
      <x:c r="Z81" s="8" t="str">
        <x:f>IF(COUNTA(A81:R81)=0,"",IF(OR(A81="",B81="",C81="",G81="",H81=""),"INCOMPLETO",IF(B81&lt;A81,"DATA INVÁLIDA",IF(AND(G81="7d",OR(Y81&lt;7,Y81&gt;10)),"FORA DA JANELA",IF(AND(G81="30d",OR(Y81&lt;30,Y81&gt;35)),"FORA DA JANELA",IF(COUNTIFS($C$2:$C$201,C81,$G$2:$G$201,G81)&gt;1,"DUPLICADO","OK"))))))</x:f>
      </x:c>
      <x:c r="AA81" s="44" t="n">
        <x:f>IF(ISNUMBER(H81),1,0)</x:f>
        <x:v>0</x:v>
      </x:c>
      <x:c r="AB81" s="44" t="n">
        <x:f>IF(ISNUMBER(I81),1,0)</x:f>
        <x:v>0</x:v>
      </x:c>
      <x:c r="AC81" s="44" t="n">
        <x:f>IF(ISNUMBER(T81),1,0)</x:f>
        <x:v>0</x:v>
      </x:c>
      <x:c r="AD81" s="44" t="n">
        <x:f>IF(ISNUMBER(U81),1,0)</x:f>
        <x:v>0</x:v>
      </x:c>
      <x:c r="AE81" s="44" t="n">
        <x:f>IF(ISNUMBER(V81),1,0)</x:f>
        <x:v>0</x:v>
      </x:c>
      <x:c r="AF81" s="44" t="n">
        <x:f>IF(ISNUMBER(W81),1,0)</x:f>
        <x:v>0</x:v>
      </x:c>
      <x:c r="AG81" s="44" t="n">
        <x:f>IF(ISNUMBER(X81),1,0)</x:f>
        <x:v>0</x:v>
      </x:c>
      <x:c r="AH81" s="44" t="n">
        <x:f>IF(ISNUMBER(P81),1,0)</x:f>
        <x:v>0</x:v>
      </x:c>
      <x:c r="AI81" s="44" t="n">
        <x:f>IF(ISNUMBER(O81),1,0)</x:f>
        <x:v>0</x:v>
      </x:c>
    </x:row>
    <x:row r="82" ht="22" customHeight="1">
      <x:c r="A82" s="26"/>
      <x:c r="B82" s="26"/>
      <x:c r="C82" s="14"/>
      <x:c r="D82" s="14"/>
      <x:c r="E82" s="14"/>
      <x:c r="F82" s="28"/>
      <x:c r="G82" s="14"/>
      <x:c r="H82" s="30"/>
      <x:c r="I82" s="30"/>
      <x:c r="J82" s="30"/>
      <x:c r="K82" s="30"/>
      <x:c r="L82" s="30"/>
      <x:c r="M82" s="30"/>
      <x:c r="N82" s="30"/>
      <x:c r="O82" s="32"/>
      <x:c r="P82" s="34"/>
      <x:c r="Q82" s="14"/>
      <x:c r="R82" s="14"/>
      <x:c r="S82" s="36" t="str">
        <x:f>IF(COUNT(J82:M82)&lt;4,"",SUM(J82:M82))</x:f>
      </x:c>
      <x:c r="T82" s="38" t="str">
        <x:f>IF(OR(S82="",I82="",I82&lt;=0),"",S82/I82)</x:f>
      </x:c>
      <x:c r="U82" s="38" t="str">
        <x:f>IF(OR(L82="",I82="",I82&lt;=0),"",L82/I82)</x:f>
      </x:c>
      <x:c r="V82" s="38" t="str">
        <x:f>IF(OR(M82="",I82="",I82&lt;=0),"",M82/I82)</x:f>
      </x:c>
      <x:c r="W82" s="38" t="str">
        <x:f>IF(OR(N82="",I82="",I82&lt;=0),"",N82/I82)</x:f>
      </x:c>
      <x:c r="X82" s="38" t="str">
        <x:f>IF(OR(O82="",F82="",F82&lt;=0),"",O82/F82)</x:f>
      </x:c>
      <x:c r="Y82" s="40" t="str">
        <x:f>IF(OR(A82="",B82=""),"",B82-A82)</x:f>
      </x:c>
      <x:c r="Z82" s="8" t="str">
        <x:f>IF(COUNTA(A82:R82)=0,"",IF(OR(A82="",B82="",C82="",G82="",H82=""),"INCOMPLETO",IF(B82&lt;A82,"DATA INVÁLIDA",IF(AND(G82="7d",OR(Y82&lt;7,Y82&gt;10)),"FORA DA JANELA",IF(AND(G82="30d",OR(Y82&lt;30,Y82&gt;35)),"FORA DA JANELA",IF(COUNTIFS($C$2:$C$201,C82,$G$2:$G$201,G82)&gt;1,"DUPLICADO","OK"))))))</x:f>
      </x:c>
      <x:c r="AA82" s="44" t="n">
        <x:f>IF(ISNUMBER(H82),1,0)</x:f>
        <x:v>0</x:v>
      </x:c>
      <x:c r="AB82" s="44" t="n">
        <x:f>IF(ISNUMBER(I82),1,0)</x:f>
        <x:v>0</x:v>
      </x:c>
      <x:c r="AC82" s="44" t="n">
        <x:f>IF(ISNUMBER(T82),1,0)</x:f>
        <x:v>0</x:v>
      </x:c>
      <x:c r="AD82" s="44" t="n">
        <x:f>IF(ISNUMBER(U82),1,0)</x:f>
        <x:v>0</x:v>
      </x:c>
      <x:c r="AE82" s="44" t="n">
        <x:f>IF(ISNUMBER(V82),1,0)</x:f>
        <x:v>0</x:v>
      </x:c>
      <x:c r="AF82" s="44" t="n">
        <x:f>IF(ISNUMBER(W82),1,0)</x:f>
        <x:v>0</x:v>
      </x:c>
      <x:c r="AG82" s="44" t="n">
        <x:f>IF(ISNUMBER(X82),1,0)</x:f>
        <x:v>0</x:v>
      </x:c>
      <x:c r="AH82" s="44" t="n">
        <x:f>IF(ISNUMBER(P82),1,0)</x:f>
        <x:v>0</x:v>
      </x:c>
      <x:c r="AI82" s="44" t="n">
        <x:f>IF(ISNUMBER(O82),1,0)</x:f>
        <x:v>0</x:v>
      </x:c>
    </x:row>
    <x:row r="83" ht="22" customHeight="1">
      <x:c r="A83" s="26"/>
      <x:c r="B83" s="26"/>
      <x:c r="C83" s="14"/>
      <x:c r="D83" s="14"/>
      <x:c r="E83" s="14"/>
      <x:c r="F83" s="28"/>
      <x:c r="G83" s="14"/>
      <x:c r="H83" s="30"/>
      <x:c r="I83" s="30"/>
      <x:c r="J83" s="30"/>
      <x:c r="K83" s="30"/>
      <x:c r="L83" s="30"/>
      <x:c r="M83" s="30"/>
      <x:c r="N83" s="30"/>
      <x:c r="O83" s="32"/>
      <x:c r="P83" s="34"/>
      <x:c r="Q83" s="14"/>
      <x:c r="R83" s="14"/>
      <x:c r="S83" s="36" t="str">
        <x:f>IF(COUNT(J83:M83)&lt;4,"",SUM(J83:M83))</x:f>
      </x:c>
      <x:c r="T83" s="38" t="str">
        <x:f>IF(OR(S83="",I83="",I83&lt;=0),"",S83/I83)</x:f>
      </x:c>
      <x:c r="U83" s="38" t="str">
        <x:f>IF(OR(L83="",I83="",I83&lt;=0),"",L83/I83)</x:f>
      </x:c>
      <x:c r="V83" s="38" t="str">
        <x:f>IF(OR(M83="",I83="",I83&lt;=0),"",M83/I83)</x:f>
      </x:c>
      <x:c r="W83" s="38" t="str">
        <x:f>IF(OR(N83="",I83="",I83&lt;=0),"",N83/I83)</x:f>
      </x:c>
      <x:c r="X83" s="38" t="str">
        <x:f>IF(OR(O83="",F83="",F83&lt;=0),"",O83/F83)</x:f>
      </x:c>
      <x:c r="Y83" s="40" t="str">
        <x:f>IF(OR(A83="",B83=""),"",B83-A83)</x:f>
      </x:c>
      <x:c r="Z83" s="8" t="str">
        <x:f>IF(COUNTA(A83:R83)=0,"",IF(OR(A83="",B83="",C83="",G83="",H83=""),"INCOMPLETO",IF(B83&lt;A83,"DATA INVÁLIDA",IF(AND(G83="7d",OR(Y83&lt;7,Y83&gt;10)),"FORA DA JANELA",IF(AND(G83="30d",OR(Y83&lt;30,Y83&gt;35)),"FORA DA JANELA",IF(COUNTIFS($C$2:$C$201,C83,$G$2:$G$201,G83)&gt;1,"DUPLICADO","OK"))))))</x:f>
      </x:c>
      <x:c r="AA83" s="44" t="n">
        <x:f>IF(ISNUMBER(H83),1,0)</x:f>
        <x:v>0</x:v>
      </x:c>
      <x:c r="AB83" s="44" t="n">
        <x:f>IF(ISNUMBER(I83),1,0)</x:f>
        <x:v>0</x:v>
      </x:c>
      <x:c r="AC83" s="44" t="n">
        <x:f>IF(ISNUMBER(T83),1,0)</x:f>
        <x:v>0</x:v>
      </x:c>
      <x:c r="AD83" s="44" t="n">
        <x:f>IF(ISNUMBER(U83),1,0)</x:f>
        <x:v>0</x:v>
      </x:c>
      <x:c r="AE83" s="44" t="n">
        <x:f>IF(ISNUMBER(V83),1,0)</x:f>
        <x:v>0</x:v>
      </x:c>
      <x:c r="AF83" s="44" t="n">
        <x:f>IF(ISNUMBER(W83),1,0)</x:f>
        <x:v>0</x:v>
      </x:c>
      <x:c r="AG83" s="44" t="n">
        <x:f>IF(ISNUMBER(X83),1,0)</x:f>
        <x:v>0</x:v>
      </x:c>
      <x:c r="AH83" s="44" t="n">
        <x:f>IF(ISNUMBER(P83),1,0)</x:f>
        <x:v>0</x:v>
      </x:c>
      <x:c r="AI83" s="44" t="n">
        <x:f>IF(ISNUMBER(O83),1,0)</x:f>
        <x:v>0</x:v>
      </x:c>
    </x:row>
    <x:row r="84" ht="22" customHeight="1">
      <x:c r="A84" s="26"/>
      <x:c r="B84" s="26"/>
      <x:c r="C84" s="14"/>
      <x:c r="D84" s="14"/>
      <x:c r="E84" s="14"/>
      <x:c r="F84" s="28"/>
      <x:c r="G84" s="14"/>
      <x:c r="H84" s="30"/>
      <x:c r="I84" s="30"/>
      <x:c r="J84" s="30"/>
      <x:c r="K84" s="30"/>
      <x:c r="L84" s="30"/>
      <x:c r="M84" s="30"/>
      <x:c r="N84" s="30"/>
      <x:c r="O84" s="32"/>
      <x:c r="P84" s="34"/>
      <x:c r="Q84" s="14"/>
      <x:c r="R84" s="14"/>
      <x:c r="S84" s="36" t="str">
        <x:f>IF(COUNT(J84:M84)&lt;4,"",SUM(J84:M84))</x:f>
      </x:c>
      <x:c r="T84" s="38" t="str">
        <x:f>IF(OR(S84="",I84="",I84&lt;=0),"",S84/I84)</x:f>
      </x:c>
      <x:c r="U84" s="38" t="str">
        <x:f>IF(OR(L84="",I84="",I84&lt;=0),"",L84/I84)</x:f>
      </x:c>
      <x:c r="V84" s="38" t="str">
        <x:f>IF(OR(M84="",I84="",I84&lt;=0),"",M84/I84)</x:f>
      </x:c>
      <x:c r="W84" s="38" t="str">
        <x:f>IF(OR(N84="",I84="",I84&lt;=0),"",N84/I84)</x:f>
      </x:c>
      <x:c r="X84" s="38" t="str">
        <x:f>IF(OR(O84="",F84="",F84&lt;=0),"",O84/F84)</x:f>
      </x:c>
      <x:c r="Y84" s="40" t="str">
        <x:f>IF(OR(A84="",B84=""),"",B84-A84)</x:f>
      </x:c>
      <x:c r="Z84" s="8" t="str">
        <x:f>IF(COUNTA(A84:R84)=0,"",IF(OR(A84="",B84="",C84="",G84="",H84=""),"INCOMPLETO",IF(B84&lt;A84,"DATA INVÁLIDA",IF(AND(G84="7d",OR(Y84&lt;7,Y84&gt;10)),"FORA DA JANELA",IF(AND(G84="30d",OR(Y84&lt;30,Y84&gt;35)),"FORA DA JANELA",IF(COUNTIFS($C$2:$C$201,C84,$G$2:$G$201,G84)&gt;1,"DUPLICADO","OK"))))))</x:f>
      </x:c>
      <x:c r="AA84" s="44" t="n">
        <x:f>IF(ISNUMBER(H84),1,0)</x:f>
        <x:v>0</x:v>
      </x:c>
      <x:c r="AB84" s="44" t="n">
        <x:f>IF(ISNUMBER(I84),1,0)</x:f>
        <x:v>0</x:v>
      </x:c>
      <x:c r="AC84" s="44" t="n">
        <x:f>IF(ISNUMBER(T84),1,0)</x:f>
        <x:v>0</x:v>
      </x:c>
      <x:c r="AD84" s="44" t="n">
        <x:f>IF(ISNUMBER(U84),1,0)</x:f>
        <x:v>0</x:v>
      </x:c>
      <x:c r="AE84" s="44" t="n">
        <x:f>IF(ISNUMBER(V84),1,0)</x:f>
        <x:v>0</x:v>
      </x:c>
      <x:c r="AF84" s="44" t="n">
        <x:f>IF(ISNUMBER(W84),1,0)</x:f>
        <x:v>0</x:v>
      </x:c>
      <x:c r="AG84" s="44" t="n">
        <x:f>IF(ISNUMBER(X84),1,0)</x:f>
        <x:v>0</x:v>
      </x:c>
      <x:c r="AH84" s="44" t="n">
        <x:f>IF(ISNUMBER(P84),1,0)</x:f>
        <x:v>0</x:v>
      </x:c>
      <x:c r="AI84" s="44" t="n">
        <x:f>IF(ISNUMBER(O84),1,0)</x:f>
        <x:v>0</x:v>
      </x:c>
    </x:row>
    <x:row r="85" ht="22" customHeight="1">
      <x:c r="A85" s="26"/>
      <x:c r="B85" s="26"/>
      <x:c r="C85" s="14"/>
      <x:c r="D85" s="14"/>
      <x:c r="E85" s="14"/>
      <x:c r="F85" s="28"/>
      <x:c r="G85" s="14"/>
      <x:c r="H85" s="30"/>
      <x:c r="I85" s="30"/>
      <x:c r="J85" s="30"/>
      <x:c r="K85" s="30"/>
      <x:c r="L85" s="30"/>
      <x:c r="M85" s="30"/>
      <x:c r="N85" s="30"/>
      <x:c r="O85" s="32"/>
      <x:c r="P85" s="34"/>
      <x:c r="Q85" s="14"/>
      <x:c r="R85" s="14"/>
      <x:c r="S85" s="36" t="str">
        <x:f>IF(COUNT(J85:M85)&lt;4,"",SUM(J85:M85))</x:f>
      </x:c>
      <x:c r="T85" s="38" t="str">
        <x:f>IF(OR(S85="",I85="",I85&lt;=0),"",S85/I85)</x:f>
      </x:c>
      <x:c r="U85" s="38" t="str">
        <x:f>IF(OR(L85="",I85="",I85&lt;=0),"",L85/I85)</x:f>
      </x:c>
      <x:c r="V85" s="38" t="str">
        <x:f>IF(OR(M85="",I85="",I85&lt;=0),"",M85/I85)</x:f>
      </x:c>
      <x:c r="W85" s="38" t="str">
        <x:f>IF(OR(N85="",I85="",I85&lt;=0),"",N85/I85)</x:f>
      </x:c>
      <x:c r="X85" s="38" t="str">
        <x:f>IF(OR(O85="",F85="",F85&lt;=0),"",O85/F85)</x:f>
      </x:c>
      <x:c r="Y85" s="40" t="str">
        <x:f>IF(OR(A85="",B85=""),"",B85-A85)</x:f>
      </x:c>
      <x:c r="Z85" s="8" t="str">
        <x:f>IF(COUNTA(A85:R85)=0,"",IF(OR(A85="",B85="",C85="",G85="",H85=""),"INCOMPLETO",IF(B85&lt;A85,"DATA INVÁLIDA",IF(AND(G85="7d",OR(Y85&lt;7,Y85&gt;10)),"FORA DA JANELA",IF(AND(G85="30d",OR(Y85&lt;30,Y85&gt;35)),"FORA DA JANELA",IF(COUNTIFS($C$2:$C$201,C85,$G$2:$G$201,G85)&gt;1,"DUPLICADO","OK"))))))</x:f>
      </x:c>
      <x:c r="AA85" s="44" t="n">
        <x:f>IF(ISNUMBER(H85),1,0)</x:f>
        <x:v>0</x:v>
      </x:c>
      <x:c r="AB85" s="44" t="n">
        <x:f>IF(ISNUMBER(I85),1,0)</x:f>
        <x:v>0</x:v>
      </x:c>
      <x:c r="AC85" s="44" t="n">
        <x:f>IF(ISNUMBER(T85),1,0)</x:f>
        <x:v>0</x:v>
      </x:c>
      <x:c r="AD85" s="44" t="n">
        <x:f>IF(ISNUMBER(U85),1,0)</x:f>
        <x:v>0</x:v>
      </x:c>
      <x:c r="AE85" s="44" t="n">
        <x:f>IF(ISNUMBER(V85),1,0)</x:f>
        <x:v>0</x:v>
      </x:c>
      <x:c r="AF85" s="44" t="n">
        <x:f>IF(ISNUMBER(W85),1,0)</x:f>
        <x:v>0</x:v>
      </x:c>
      <x:c r="AG85" s="44" t="n">
        <x:f>IF(ISNUMBER(X85),1,0)</x:f>
        <x:v>0</x:v>
      </x:c>
      <x:c r="AH85" s="44" t="n">
        <x:f>IF(ISNUMBER(P85),1,0)</x:f>
        <x:v>0</x:v>
      </x:c>
      <x:c r="AI85" s="44" t="n">
        <x:f>IF(ISNUMBER(O85),1,0)</x:f>
        <x:v>0</x:v>
      </x:c>
    </x:row>
    <x:row r="86" ht="22" customHeight="1">
      <x:c r="A86" s="26"/>
      <x:c r="B86" s="26"/>
      <x:c r="C86" s="14"/>
      <x:c r="D86" s="14"/>
      <x:c r="E86" s="14"/>
      <x:c r="F86" s="28"/>
      <x:c r="G86" s="14"/>
      <x:c r="H86" s="30"/>
      <x:c r="I86" s="30"/>
      <x:c r="J86" s="30"/>
      <x:c r="K86" s="30"/>
      <x:c r="L86" s="30"/>
      <x:c r="M86" s="30"/>
      <x:c r="N86" s="30"/>
      <x:c r="O86" s="32"/>
      <x:c r="P86" s="34"/>
      <x:c r="Q86" s="14"/>
      <x:c r="R86" s="14"/>
      <x:c r="S86" s="36" t="str">
        <x:f>IF(COUNT(J86:M86)&lt;4,"",SUM(J86:M86))</x:f>
      </x:c>
      <x:c r="T86" s="38" t="str">
        <x:f>IF(OR(S86="",I86="",I86&lt;=0),"",S86/I86)</x:f>
      </x:c>
      <x:c r="U86" s="38" t="str">
        <x:f>IF(OR(L86="",I86="",I86&lt;=0),"",L86/I86)</x:f>
      </x:c>
      <x:c r="V86" s="38" t="str">
        <x:f>IF(OR(M86="",I86="",I86&lt;=0),"",M86/I86)</x:f>
      </x:c>
      <x:c r="W86" s="38" t="str">
        <x:f>IF(OR(N86="",I86="",I86&lt;=0),"",N86/I86)</x:f>
      </x:c>
      <x:c r="X86" s="38" t="str">
        <x:f>IF(OR(O86="",F86="",F86&lt;=0),"",O86/F86)</x:f>
      </x:c>
      <x:c r="Y86" s="40" t="str">
        <x:f>IF(OR(A86="",B86=""),"",B86-A86)</x:f>
      </x:c>
      <x:c r="Z86" s="8" t="str">
        <x:f>IF(COUNTA(A86:R86)=0,"",IF(OR(A86="",B86="",C86="",G86="",H86=""),"INCOMPLETO",IF(B86&lt;A86,"DATA INVÁLIDA",IF(AND(G86="7d",OR(Y86&lt;7,Y86&gt;10)),"FORA DA JANELA",IF(AND(G86="30d",OR(Y86&lt;30,Y86&gt;35)),"FORA DA JANELA",IF(COUNTIFS($C$2:$C$201,C86,$G$2:$G$201,G86)&gt;1,"DUPLICADO","OK"))))))</x:f>
      </x:c>
      <x:c r="AA86" s="44" t="n">
        <x:f>IF(ISNUMBER(H86),1,0)</x:f>
        <x:v>0</x:v>
      </x:c>
      <x:c r="AB86" s="44" t="n">
        <x:f>IF(ISNUMBER(I86),1,0)</x:f>
        <x:v>0</x:v>
      </x:c>
      <x:c r="AC86" s="44" t="n">
        <x:f>IF(ISNUMBER(T86),1,0)</x:f>
        <x:v>0</x:v>
      </x:c>
      <x:c r="AD86" s="44" t="n">
        <x:f>IF(ISNUMBER(U86),1,0)</x:f>
        <x:v>0</x:v>
      </x:c>
      <x:c r="AE86" s="44" t="n">
        <x:f>IF(ISNUMBER(V86),1,0)</x:f>
        <x:v>0</x:v>
      </x:c>
      <x:c r="AF86" s="44" t="n">
        <x:f>IF(ISNUMBER(W86),1,0)</x:f>
        <x:v>0</x:v>
      </x:c>
      <x:c r="AG86" s="44" t="n">
        <x:f>IF(ISNUMBER(X86),1,0)</x:f>
        <x:v>0</x:v>
      </x:c>
      <x:c r="AH86" s="44" t="n">
        <x:f>IF(ISNUMBER(P86),1,0)</x:f>
        <x:v>0</x:v>
      </x:c>
      <x:c r="AI86" s="44" t="n">
        <x:f>IF(ISNUMBER(O86),1,0)</x:f>
        <x:v>0</x:v>
      </x:c>
    </x:row>
    <x:row r="87" ht="22" customHeight="1">
      <x:c r="A87" s="26"/>
      <x:c r="B87" s="26"/>
      <x:c r="C87" s="14"/>
      <x:c r="D87" s="14"/>
      <x:c r="E87" s="14"/>
      <x:c r="F87" s="28"/>
      <x:c r="G87" s="14"/>
      <x:c r="H87" s="30"/>
      <x:c r="I87" s="30"/>
      <x:c r="J87" s="30"/>
      <x:c r="K87" s="30"/>
      <x:c r="L87" s="30"/>
      <x:c r="M87" s="30"/>
      <x:c r="N87" s="30"/>
      <x:c r="O87" s="32"/>
      <x:c r="P87" s="34"/>
      <x:c r="Q87" s="14"/>
      <x:c r="R87" s="14"/>
      <x:c r="S87" s="36" t="str">
        <x:f>IF(COUNT(J87:M87)&lt;4,"",SUM(J87:M87))</x:f>
      </x:c>
      <x:c r="T87" s="38" t="str">
        <x:f>IF(OR(S87="",I87="",I87&lt;=0),"",S87/I87)</x:f>
      </x:c>
      <x:c r="U87" s="38" t="str">
        <x:f>IF(OR(L87="",I87="",I87&lt;=0),"",L87/I87)</x:f>
      </x:c>
      <x:c r="V87" s="38" t="str">
        <x:f>IF(OR(M87="",I87="",I87&lt;=0),"",M87/I87)</x:f>
      </x:c>
      <x:c r="W87" s="38" t="str">
        <x:f>IF(OR(N87="",I87="",I87&lt;=0),"",N87/I87)</x:f>
      </x:c>
      <x:c r="X87" s="38" t="str">
        <x:f>IF(OR(O87="",F87="",F87&lt;=0),"",O87/F87)</x:f>
      </x:c>
      <x:c r="Y87" s="40" t="str">
        <x:f>IF(OR(A87="",B87=""),"",B87-A87)</x:f>
      </x:c>
      <x:c r="Z87" s="8" t="str">
        <x:f>IF(COUNTA(A87:R87)=0,"",IF(OR(A87="",B87="",C87="",G87="",H87=""),"INCOMPLETO",IF(B87&lt;A87,"DATA INVÁLIDA",IF(AND(G87="7d",OR(Y87&lt;7,Y87&gt;10)),"FORA DA JANELA",IF(AND(G87="30d",OR(Y87&lt;30,Y87&gt;35)),"FORA DA JANELA",IF(COUNTIFS($C$2:$C$201,C87,$G$2:$G$201,G87)&gt;1,"DUPLICADO","OK"))))))</x:f>
      </x:c>
      <x:c r="AA87" s="44" t="n">
        <x:f>IF(ISNUMBER(H87),1,0)</x:f>
        <x:v>0</x:v>
      </x:c>
      <x:c r="AB87" s="44" t="n">
        <x:f>IF(ISNUMBER(I87),1,0)</x:f>
        <x:v>0</x:v>
      </x:c>
      <x:c r="AC87" s="44" t="n">
        <x:f>IF(ISNUMBER(T87),1,0)</x:f>
        <x:v>0</x:v>
      </x:c>
      <x:c r="AD87" s="44" t="n">
        <x:f>IF(ISNUMBER(U87),1,0)</x:f>
        <x:v>0</x:v>
      </x:c>
      <x:c r="AE87" s="44" t="n">
        <x:f>IF(ISNUMBER(V87),1,0)</x:f>
        <x:v>0</x:v>
      </x:c>
      <x:c r="AF87" s="44" t="n">
        <x:f>IF(ISNUMBER(W87),1,0)</x:f>
        <x:v>0</x:v>
      </x:c>
      <x:c r="AG87" s="44" t="n">
        <x:f>IF(ISNUMBER(X87),1,0)</x:f>
        <x:v>0</x:v>
      </x:c>
      <x:c r="AH87" s="44" t="n">
        <x:f>IF(ISNUMBER(P87),1,0)</x:f>
        <x:v>0</x:v>
      </x:c>
      <x:c r="AI87" s="44" t="n">
        <x:f>IF(ISNUMBER(O87),1,0)</x:f>
        <x:v>0</x:v>
      </x:c>
    </x:row>
    <x:row r="88" ht="22" customHeight="1">
      <x:c r="A88" s="26"/>
      <x:c r="B88" s="26"/>
      <x:c r="C88" s="14"/>
      <x:c r="D88" s="14"/>
      <x:c r="E88" s="14"/>
      <x:c r="F88" s="28"/>
      <x:c r="G88" s="14"/>
      <x:c r="H88" s="30"/>
      <x:c r="I88" s="30"/>
      <x:c r="J88" s="30"/>
      <x:c r="K88" s="30"/>
      <x:c r="L88" s="30"/>
      <x:c r="M88" s="30"/>
      <x:c r="N88" s="30"/>
      <x:c r="O88" s="32"/>
      <x:c r="P88" s="34"/>
      <x:c r="Q88" s="14"/>
      <x:c r="R88" s="14"/>
      <x:c r="S88" s="36" t="str">
        <x:f>IF(COUNT(J88:M88)&lt;4,"",SUM(J88:M88))</x:f>
      </x:c>
      <x:c r="T88" s="38" t="str">
        <x:f>IF(OR(S88="",I88="",I88&lt;=0),"",S88/I88)</x:f>
      </x:c>
      <x:c r="U88" s="38" t="str">
        <x:f>IF(OR(L88="",I88="",I88&lt;=0),"",L88/I88)</x:f>
      </x:c>
      <x:c r="V88" s="38" t="str">
        <x:f>IF(OR(M88="",I88="",I88&lt;=0),"",M88/I88)</x:f>
      </x:c>
      <x:c r="W88" s="38" t="str">
        <x:f>IF(OR(N88="",I88="",I88&lt;=0),"",N88/I88)</x:f>
      </x:c>
      <x:c r="X88" s="38" t="str">
        <x:f>IF(OR(O88="",F88="",F88&lt;=0),"",O88/F88)</x:f>
      </x:c>
      <x:c r="Y88" s="40" t="str">
        <x:f>IF(OR(A88="",B88=""),"",B88-A88)</x:f>
      </x:c>
      <x:c r="Z88" s="8" t="str">
        <x:f>IF(COUNTA(A88:R88)=0,"",IF(OR(A88="",B88="",C88="",G88="",H88=""),"INCOMPLETO",IF(B88&lt;A88,"DATA INVÁLIDA",IF(AND(G88="7d",OR(Y88&lt;7,Y88&gt;10)),"FORA DA JANELA",IF(AND(G88="30d",OR(Y88&lt;30,Y88&gt;35)),"FORA DA JANELA",IF(COUNTIFS($C$2:$C$201,C88,$G$2:$G$201,G88)&gt;1,"DUPLICADO","OK"))))))</x:f>
      </x:c>
      <x:c r="AA88" s="44" t="n">
        <x:f>IF(ISNUMBER(H88),1,0)</x:f>
        <x:v>0</x:v>
      </x:c>
      <x:c r="AB88" s="44" t="n">
        <x:f>IF(ISNUMBER(I88),1,0)</x:f>
        <x:v>0</x:v>
      </x:c>
      <x:c r="AC88" s="44" t="n">
        <x:f>IF(ISNUMBER(T88),1,0)</x:f>
        <x:v>0</x:v>
      </x:c>
      <x:c r="AD88" s="44" t="n">
        <x:f>IF(ISNUMBER(U88),1,0)</x:f>
        <x:v>0</x:v>
      </x:c>
      <x:c r="AE88" s="44" t="n">
        <x:f>IF(ISNUMBER(V88),1,0)</x:f>
        <x:v>0</x:v>
      </x:c>
      <x:c r="AF88" s="44" t="n">
        <x:f>IF(ISNUMBER(W88),1,0)</x:f>
        <x:v>0</x:v>
      </x:c>
      <x:c r="AG88" s="44" t="n">
        <x:f>IF(ISNUMBER(X88),1,0)</x:f>
        <x:v>0</x:v>
      </x:c>
      <x:c r="AH88" s="44" t="n">
        <x:f>IF(ISNUMBER(P88),1,0)</x:f>
        <x:v>0</x:v>
      </x:c>
      <x:c r="AI88" s="44" t="n">
        <x:f>IF(ISNUMBER(O88),1,0)</x:f>
        <x:v>0</x:v>
      </x:c>
    </x:row>
    <x:row r="89" ht="22" customHeight="1">
      <x:c r="A89" s="26"/>
      <x:c r="B89" s="26"/>
      <x:c r="C89" s="14"/>
      <x:c r="D89" s="14"/>
      <x:c r="E89" s="14"/>
      <x:c r="F89" s="28"/>
      <x:c r="G89" s="14"/>
      <x:c r="H89" s="30"/>
      <x:c r="I89" s="30"/>
      <x:c r="J89" s="30"/>
      <x:c r="K89" s="30"/>
      <x:c r="L89" s="30"/>
      <x:c r="M89" s="30"/>
      <x:c r="N89" s="30"/>
      <x:c r="O89" s="32"/>
      <x:c r="P89" s="34"/>
      <x:c r="Q89" s="14"/>
      <x:c r="R89" s="14"/>
      <x:c r="S89" s="36" t="str">
        <x:f>IF(COUNT(J89:M89)&lt;4,"",SUM(J89:M89))</x:f>
      </x:c>
      <x:c r="T89" s="38" t="str">
        <x:f>IF(OR(S89="",I89="",I89&lt;=0),"",S89/I89)</x:f>
      </x:c>
      <x:c r="U89" s="38" t="str">
        <x:f>IF(OR(L89="",I89="",I89&lt;=0),"",L89/I89)</x:f>
      </x:c>
      <x:c r="V89" s="38" t="str">
        <x:f>IF(OR(M89="",I89="",I89&lt;=0),"",M89/I89)</x:f>
      </x:c>
      <x:c r="W89" s="38" t="str">
        <x:f>IF(OR(N89="",I89="",I89&lt;=0),"",N89/I89)</x:f>
      </x:c>
      <x:c r="X89" s="38" t="str">
        <x:f>IF(OR(O89="",F89="",F89&lt;=0),"",O89/F89)</x:f>
      </x:c>
      <x:c r="Y89" s="40" t="str">
        <x:f>IF(OR(A89="",B89=""),"",B89-A89)</x:f>
      </x:c>
      <x:c r="Z89" s="8" t="str">
        <x:f>IF(COUNTA(A89:R89)=0,"",IF(OR(A89="",B89="",C89="",G89="",H89=""),"INCOMPLETO",IF(B89&lt;A89,"DATA INVÁLIDA",IF(AND(G89="7d",OR(Y89&lt;7,Y89&gt;10)),"FORA DA JANELA",IF(AND(G89="30d",OR(Y89&lt;30,Y89&gt;35)),"FORA DA JANELA",IF(COUNTIFS($C$2:$C$201,C89,$G$2:$G$201,G89)&gt;1,"DUPLICADO","OK"))))))</x:f>
      </x:c>
      <x:c r="AA89" s="44" t="n">
        <x:f>IF(ISNUMBER(H89),1,0)</x:f>
        <x:v>0</x:v>
      </x:c>
      <x:c r="AB89" s="44" t="n">
        <x:f>IF(ISNUMBER(I89),1,0)</x:f>
        <x:v>0</x:v>
      </x:c>
      <x:c r="AC89" s="44" t="n">
        <x:f>IF(ISNUMBER(T89),1,0)</x:f>
        <x:v>0</x:v>
      </x:c>
      <x:c r="AD89" s="44" t="n">
        <x:f>IF(ISNUMBER(U89),1,0)</x:f>
        <x:v>0</x:v>
      </x:c>
      <x:c r="AE89" s="44" t="n">
        <x:f>IF(ISNUMBER(V89),1,0)</x:f>
        <x:v>0</x:v>
      </x:c>
      <x:c r="AF89" s="44" t="n">
        <x:f>IF(ISNUMBER(W89),1,0)</x:f>
        <x:v>0</x:v>
      </x:c>
      <x:c r="AG89" s="44" t="n">
        <x:f>IF(ISNUMBER(X89),1,0)</x:f>
        <x:v>0</x:v>
      </x:c>
      <x:c r="AH89" s="44" t="n">
        <x:f>IF(ISNUMBER(P89),1,0)</x:f>
        <x:v>0</x:v>
      </x:c>
      <x:c r="AI89" s="44" t="n">
        <x:f>IF(ISNUMBER(O89),1,0)</x:f>
        <x:v>0</x:v>
      </x:c>
    </x:row>
    <x:row r="90" ht="22" customHeight="1">
      <x:c r="A90" s="26"/>
      <x:c r="B90" s="26"/>
      <x:c r="C90" s="14"/>
      <x:c r="D90" s="14"/>
      <x:c r="E90" s="14"/>
      <x:c r="F90" s="28"/>
      <x:c r="G90" s="14"/>
      <x:c r="H90" s="30"/>
      <x:c r="I90" s="30"/>
      <x:c r="J90" s="30"/>
      <x:c r="K90" s="30"/>
      <x:c r="L90" s="30"/>
      <x:c r="M90" s="30"/>
      <x:c r="N90" s="30"/>
      <x:c r="O90" s="32"/>
      <x:c r="P90" s="34"/>
      <x:c r="Q90" s="14"/>
      <x:c r="R90" s="14"/>
      <x:c r="S90" s="36" t="str">
        <x:f>IF(COUNT(J90:M90)&lt;4,"",SUM(J90:M90))</x:f>
      </x:c>
      <x:c r="T90" s="38" t="str">
        <x:f>IF(OR(S90="",I90="",I90&lt;=0),"",S90/I90)</x:f>
      </x:c>
      <x:c r="U90" s="38" t="str">
        <x:f>IF(OR(L90="",I90="",I90&lt;=0),"",L90/I90)</x:f>
      </x:c>
      <x:c r="V90" s="38" t="str">
        <x:f>IF(OR(M90="",I90="",I90&lt;=0),"",M90/I90)</x:f>
      </x:c>
      <x:c r="W90" s="38" t="str">
        <x:f>IF(OR(N90="",I90="",I90&lt;=0),"",N90/I90)</x:f>
      </x:c>
      <x:c r="X90" s="38" t="str">
        <x:f>IF(OR(O90="",F90="",F90&lt;=0),"",O90/F90)</x:f>
      </x:c>
      <x:c r="Y90" s="40" t="str">
        <x:f>IF(OR(A90="",B90=""),"",B90-A90)</x:f>
      </x:c>
      <x:c r="Z90" s="8" t="str">
        <x:f>IF(COUNTA(A90:R90)=0,"",IF(OR(A90="",B90="",C90="",G90="",H90=""),"INCOMPLETO",IF(B90&lt;A90,"DATA INVÁLIDA",IF(AND(G90="7d",OR(Y90&lt;7,Y90&gt;10)),"FORA DA JANELA",IF(AND(G90="30d",OR(Y90&lt;30,Y90&gt;35)),"FORA DA JANELA",IF(COUNTIFS($C$2:$C$201,C90,$G$2:$G$201,G90)&gt;1,"DUPLICADO","OK"))))))</x:f>
      </x:c>
      <x:c r="AA90" s="44" t="n">
        <x:f>IF(ISNUMBER(H90),1,0)</x:f>
        <x:v>0</x:v>
      </x:c>
      <x:c r="AB90" s="44" t="n">
        <x:f>IF(ISNUMBER(I90),1,0)</x:f>
        <x:v>0</x:v>
      </x:c>
      <x:c r="AC90" s="44" t="n">
        <x:f>IF(ISNUMBER(T90),1,0)</x:f>
        <x:v>0</x:v>
      </x:c>
      <x:c r="AD90" s="44" t="n">
        <x:f>IF(ISNUMBER(U90),1,0)</x:f>
        <x:v>0</x:v>
      </x:c>
      <x:c r="AE90" s="44" t="n">
        <x:f>IF(ISNUMBER(V90),1,0)</x:f>
        <x:v>0</x:v>
      </x:c>
      <x:c r="AF90" s="44" t="n">
        <x:f>IF(ISNUMBER(W90),1,0)</x:f>
        <x:v>0</x:v>
      </x:c>
      <x:c r="AG90" s="44" t="n">
        <x:f>IF(ISNUMBER(X90),1,0)</x:f>
        <x:v>0</x:v>
      </x:c>
      <x:c r="AH90" s="44" t="n">
        <x:f>IF(ISNUMBER(P90),1,0)</x:f>
        <x:v>0</x:v>
      </x:c>
      <x:c r="AI90" s="44" t="n">
        <x:f>IF(ISNUMBER(O90),1,0)</x:f>
        <x:v>0</x:v>
      </x:c>
    </x:row>
    <x:row r="91" ht="22" customHeight="1">
      <x:c r="A91" s="26"/>
      <x:c r="B91" s="26"/>
      <x:c r="C91" s="14"/>
      <x:c r="D91" s="14"/>
      <x:c r="E91" s="14"/>
      <x:c r="F91" s="28"/>
      <x:c r="G91" s="14"/>
      <x:c r="H91" s="30"/>
      <x:c r="I91" s="30"/>
      <x:c r="J91" s="30"/>
      <x:c r="K91" s="30"/>
      <x:c r="L91" s="30"/>
      <x:c r="M91" s="30"/>
      <x:c r="N91" s="30"/>
      <x:c r="O91" s="32"/>
      <x:c r="P91" s="34"/>
      <x:c r="Q91" s="14"/>
      <x:c r="R91" s="14"/>
      <x:c r="S91" s="36" t="str">
        <x:f>IF(COUNT(J91:M91)&lt;4,"",SUM(J91:M91))</x:f>
      </x:c>
      <x:c r="T91" s="38" t="str">
        <x:f>IF(OR(S91="",I91="",I91&lt;=0),"",S91/I91)</x:f>
      </x:c>
      <x:c r="U91" s="38" t="str">
        <x:f>IF(OR(L91="",I91="",I91&lt;=0),"",L91/I91)</x:f>
      </x:c>
      <x:c r="V91" s="38" t="str">
        <x:f>IF(OR(M91="",I91="",I91&lt;=0),"",M91/I91)</x:f>
      </x:c>
      <x:c r="W91" s="38" t="str">
        <x:f>IF(OR(N91="",I91="",I91&lt;=0),"",N91/I91)</x:f>
      </x:c>
      <x:c r="X91" s="38" t="str">
        <x:f>IF(OR(O91="",F91="",F91&lt;=0),"",O91/F91)</x:f>
      </x:c>
      <x:c r="Y91" s="40" t="str">
        <x:f>IF(OR(A91="",B91=""),"",B91-A91)</x:f>
      </x:c>
      <x:c r="Z91" s="8" t="str">
        <x:f>IF(COUNTA(A91:R91)=0,"",IF(OR(A91="",B91="",C91="",G91="",H91=""),"INCOMPLETO",IF(B91&lt;A91,"DATA INVÁLIDA",IF(AND(G91="7d",OR(Y91&lt;7,Y91&gt;10)),"FORA DA JANELA",IF(AND(G91="30d",OR(Y91&lt;30,Y91&gt;35)),"FORA DA JANELA",IF(COUNTIFS($C$2:$C$201,C91,$G$2:$G$201,G91)&gt;1,"DUPLICADO","OK"))))))</x:f>
      </x:c>
      <x:c r="AA91" s="44" t="n">
        <x:f>IF(ISNUMBER(H91),1,0)</x:f>
        <x:v>0</x:v>
      </x:c>
      <x:c r="AB91" s="44" t="n">
        <x:f>IF(ISNUMBER(I91),1,0)</x:f>
        <x:v>0</x:v>
      </x:c>
      <x:c r="AC91" s="44" t="n">
        <x:f>IF(ISNUMBER(T91),1,0)</x:f>
        <x:v>0</x:v>
      </x:c>
      <x:c r="AD91" s="44" t="n">
        <x:f>IF(ISNUMBER(U91),1,0)</x:f>
        <x:v>0</x:v>
      </x:c>
      <x:c r="AE91" s="44" t="n">
        <x:f>IF(ISNUMBER(V91),1,0)</x:f>
        <x:v>0</x:v>
      </x:c>
      <x:c r="AF91" s="44" t="n">
        <x:f>IF(ISNUMBER(W91),1,0)</x:f>
        <x:v>0</x:v>
      </x:c>
      <x:c r="AG91" s="44" t="n">
        <x:f>IF(ISNUMBER(X91),1,0)</x:f>
        <x:v>0</x:v>
      </x:c>
      <x:c r="AH91" s="44" t="n">
        <x:f>IF(ISNUMBER(P91),1,0)</x:f>
        <x:v>0</x:v>
      </x:c>
      <x:c r="AI91" s="44" t="n">
        <x:f>IF(ISNUMBER(O91),1,0)</x:f>
        <x:v>0</x:v>
      </x:c>
    </x:row>
    <x:row r="92" ht="22" customHeight="1">
      <x:c r="A92" s="26"/>
      <x:c r="B92" s="26"/>
      <x:c r="C92" s="14"/>
      <x:c r="D92" s="14"/>
      <x:c r="E92" s="14"/>
      <x:c r="F92" s="28"/>
      <x:c r="G92" s="14"/>
      <x:c r="H92" s="30"/>
      <x:c r="I92" s="30"/>
      <x:c r="J92" s="30"/>
      <x:c r="K92" s="30"/>
      <x:c r="L92" s="30"/>
      <x:c r="M92" s="30"/>
      <x:c r="N92" s="30"/>
      <x:c r="O92" s="32"/>
      <x:c r="P92" s="34"/>
      <x:c r="Q92" s="14"/>
      <x:c r="R92" s="14"/>
      <x:c r="S92" s="36" t="str">
        <x:f>IF(COUNT(J92:M92)&lt;4,"",SUM(J92:M92))</x:f>
      </x:c>
      <x:c r="T92" s="38" t="str">
        <x:f>IF(OR(S92="",I92="",I92&lt;=0),"",S92/I92)</x:f>
      </x:c>
      <x:c r="U92" s="38" t="str">
        <x:f>IF(OR(L92="",I92="",I92&lt;=0),"",L92/I92)</x:f>
      </x:c>
      <x:c r="V92" s="38" t="str">
        <x:f>IF(OR(M92="",I92="",I92&lt;=0),"",M92/I92)</x:f>
      </x:c>
      <x:c r="W92" s="38" t="str">
        <x:f>IF(OR(N92="",I92="",I92&lt;=0),"",N92/I92)</x:f>
      </x:c>
      <x:c r="X92" s="38" t="str">
        <x:f>IF(OR(O92="",F92="",F92&lt;=0),"",O92/F92)</x:f>
      </x:c>
      <x:c r="Y92" s="40" t="str">
        <x:f>IF(OR(A92="",B92=""),"",B92-A92)</x:f>
      </x:c>
      <x:c r="Z92" s="8" t="str">
        <x:f>IF(COUNTA(A92:R92)=0,"",IF(OR(A92="",B92="",C92="",G92="",H92=""),"INCOMPLETO",IF(B92&lt;A92,"DATA INVÁLIDA",IF(AND(G92="7d",OR(Y92&lt;7,Y92&gt;10)),"FORA DA JANELA",IF(AND(G92="30d",OR(Y92&lt;30,Y92&gt;35)),"FORA DA JANELA",IF(COUNTIFS($C$2:$C$201,C92,$G$2:$G$201,G92)&gt;1,"DUPLICADO","OK"))))))</x:f>
      </x:c>
      <x:c r="AA92" s="44" t="n">
        <x:f>IF(ISNUMBER(H92),1,0)</x:f>
        <x:v>0</x:v>
      </x:c>
      <x:c r="AB92" s="44" t="n">
        <x:f>IF(ISNUMBER(I92),1,0)</x:f>
        <x:v>0</x:v>
      </x:c>
      <x:c r="AC92" s="44" t="n">
        <x:f>IF(ISNUMBER(T92),1,0)</x:f>
        <x:v>0</x:v>
      </x:c>
      <x:c r="AD92" s="44" t="n">
        <x:f>IF(ISNUMBER(U92),1,0)</x:f>
        <x:v>0</x:v>
      </x:c>
      <x:c r="AE92" s="44" t="n">
        <x:f>IF(ISNUMBER(V92),1,0)</x:f>
        <x:v>0</x:v>
      </x:c>
      <x:c r="AF92" s="44" t="n">
        <x:f>IF(ISNUMBER(W92),1,0)</x:f>
        <x:v>0</x:v>
      </x:c>
      <x:c r="AG92" s="44" t="n">
        <x:f>IF(ISNUMBER(X92),1,0)</x:f>
        <x:v>0</x:v>
      </x:c>
      <x:c r="AH92" s="44" t="n">
        <x:f>IF(ISNUMBER(P92),1,0)</x:f>
        <x:v>0</x:v>
      </x:c>
      <x:c r="AI92" s="44" t="n">
        <x:f>IF(ISNUMBER(O92),1,0)</x:f>
        <x:v>0</x:v>
      </x:c>
    </x:row>
    <x:row r="93" ht="22" customHeight="1">
      <x:c r="A93" s="26"/>
      <x:c r="B93" s="26"/>
      <x:c r="C93" s="14"/>
      <x:c r="D93" s="14"/>
      <x:c r="E93" s="14"/>
      <x:c r="F93" s="28"/>
      <x:c r="G93" s="14"/>
      <x:c r="H93" s="30"/>
      <x:c r="I93" s="30"/>
      <x:c r="J93" s="30"/>
      <x:c r="K93" s="30"/>
      <x:c r="L93" s="30"/>
      <x:c r="M93" s="30"/>
      <x:c r="N93" s="30"/>
      <x:c r="O93" s="32"/>
      <x:c r="P93" s="34"/>
      <x:c r="Q93" s="14"/>
      <x:c r="R93" s="14"/>
      <x:c r="S93" s="36" t="str">
        <x:f>IF(COUNT(J93:M93)&lt;4,"",SUM(J93:M93))</x:f>
      </x:c>
      <x:c r="T93" s="38" t="str">
        <x:f>IF(OR(S93="",I93="",I93&lt;=0),"",S93/I93)</x:f>
      </x:c>
      <x:c r="U93" s="38" t="str">
        <x:f>IF(OR(L93="",I93="",I93&lt;=0),"",L93/I93)</x:f>
      </x:c>
      <x:c r="V93" s="38" t="str">
        <x:f>IF(OR(M93="",I93="",I93&lt;=0),"",M93/I93)</x:f>
      </x:c>
      <x:c r="W93" s="38" t="str">
        <x:f>IF(OR(N93="",I93="",I93&lt;=0),"",N93/I93)</x:f>
      </x:c>
      <x:c r="X93" s="38" t="str">
        <x:f>IF(OR(O93="",F93="",F93&lt;=0),"",O93/F93)</x:f>
      </x:c>
      <x:c r="Y93" s="40" t="str">
        <x:f>IF(OR(A93="",B93=""),"",B93-A93)</x:f>
      </x:c>
      <x:c r="Z93" s="8" t="str">
        <x:f>IF(COUNTA(A93:R93)=0,"",IF(OR(A93="",B93="",C93="",G93="",H93=""),"INCOMPLETO",IF(B93&lt;A93,"DATA INVÁLIDA",IF(AND(G93="7d",OR(Y93&lt;7,Y93&gt;10)),"FORA DA JANELA",IF(AND(G93="30d",OR(Y93&lt;30,Y93&gt;35)),"FORA DA JANELA",IF(COUNTIFS($C$2:$C$201,C93,$G$2:$G$201,G93)&gt;1,"DUPLICADO","OK"))))))</x:f>
      </x:c>
      <x:c r="AA93" s="44" t="n">
        <x:f>IF(ISNUMBER(H93),1,0)</x:f>
        <x:v>0</x:v>
      </x:c>
      <x:c r="AB93" s="44" t="n">
        <x:f>IF(ISNUMBER(I93),1,0)</x:f>
        <x:v>0</x:v>
      </x:c>
      <x:c r="AC93" s="44" t="n">
        <x:f>IF(ISNUMBER(T93),1,0)</x:f>
        <x:v>0</x:v>
      </x:c>
      <x:c r="AD93" s="44" t="n">
        <x:f>IF(ISNUMBER(U93),1,0)</x:f>
        <x:v>0</x:v>
      </x:c>
      <x:c r="AE93" s="44" t="n">
        <x:f>IF(ISNUMBER(V93),1,0)</x:f>
        <x:v>0</x:v>
      </x:c>
      <x:c r="AF93" s="44" t="n">
        <x:f>IF(ISNUMBER(W93),1,0)</x:f>
        <x:v>0</x:v>
      </x:c>
      <x:c r="AG93" s="44" t="n">
        <x:f>IF(ISNUMBER(X93),1,0)</x:f>
        <x:v>0</x:v>
      </x:c>
      <x:c r="AH93" s="44" t="n">
        <x:f>IF(ISNUMBER(P93),1,0)</x:f>
        <x:v>0</x:v>
      </x:c>
      <x:c r="AI93" s="44" t="n">
        <x:f>IF(ISNUMBER(O93),1,0)</x:f>
        <x:v>0</x:v>
      </x:c>
    </x:row>
    <x:row r="94" ht="22" customHeight="1">
      <x:c r="A94" s="26"/>
      <x:c r="B94" s="26"/>
      <x:c r="C94" s="14"/>
      <x:c r="D94" s="14"/>
      <x:c r="E94" s="14"/>
      <x:c r="F94" s="28"/>
      <x:c r="G94" s="14"/>
      <x:c r="H94" s="30"/>
      <x:c r="I94" s="30"/>
      <x:c r="J94" s="30"/>
      <x:c r="K94" s="30"/>
      <x:c r="L94" s="30"/>
      <x:c r="M94" s="30"/>
      <x:c r="N94" s="30"/>
      <x:c r="O94" s="32"/>
      <x:c r="P94" s="34"/>
      <x:c r="Q94" s="14"/>
      <x:c r="R94" s="14"/>
      <x:c r="S94" s="36" t="str">
        <x:f>IF(COUNT(J94:M94)&lt;4,"",SUM(J94:M94))</x:f>
      </x:c>
      <x:c r="T94" s="38" t="str">
        <x:f>IF(OR(S94="",I94="",I94&lt;=0),"",S94/I94)</x:f>
      </x:c>
      <x:c r="U94" s="38" t="str">
        <x:f>IF(OR(L94="",I94="",I94&lt;=0),"",L94/I94)</x:f>
      </x:c>
      <x:c r="V94" s="38" t="str">
        <x:f>IF(OR(M94="",I94="",I94&lt;=0),"",M94/I94)</x:f>
      </x:c>
      <x:c r="W94" s="38" t="str">
        <x:f>IF(OR(N94="",I94="",I94&lt;=0),"",N94/I94)</x:f>
      </x:c>
      <x:c r="X94" s="38" t="str">
        <x:f>IF(OR(O94="",F94="",F94&lt;=0),"",O94/F94)</x:f>
      </x:c>
      <x:c r="Y94" s="40" t="str">
        <x:f>IF(OR(A94="",B94=""),"",B94-A94)</x:f>
      </x:c>
      <x:c r="Z94" s="8" t="str">
        <x:f>IF(COUNTA(A94:R94)=0,"",IF(OR(A94="",B94="",C94="",G94="",H94=""),"INCOMPLETO",IF(B94&lt;A94,"DATA INVÁLIDA",IF(AND(G94="7d",OR(Y94&lt;7,Y94&gt;10)),"FORA DA JANELA",IF(AND(G94="30d",OR(Y94&lt;30,Y94&gt;35)),"FORA DA JANELA",IF(COUNTIFS($C$2:$C$201,C94,$G$2:$G$201,G94)&gt;1,"DUPLICADO","OK"))))))</x:f>
      </x:c>
      <x:c r="AA94" s="44" t="n">
        <x:f>IF(ISNUMBER(H94),1,0)</x:f>
        <x:v>0</x:v>
      </x:c>
      <x:c r="AB94" s="44" t="n">
        <x:f>IF(ISNUMBER(I94),1,0)</x:f>
        <x:v>0</x:v>
      </x:c>
      <x:c r="AC94" s="44" t="n">
        <x:f>IF(ISNUMBER(T94),1,0)</x:f>
        <x:v>0</x:v>
      </x:c>
      <x:c r="AD94" s="44" t="n">
        <x:f>IF(ISNUMBER(U94),1,0)</x:f>
        <x:v>0</x:v>
      </x:c>
      <x:c r="AE94" s="44" t="n">
        <x:f>IF(ISNUMBER(V94),1,0)</x:f>
        <x:v>0</x:v>
      </x:c>
      <x:c r="AF94" s="44" t="n">
        <x:f>IF(ISNUMBER(W94),1,0)</x:f>
        <x:v>0</x:v>
      </x:c>
      <x:c r="AG94" s="44" t="n">
        <x:f>IF(ISNUMBER(X94),1,0)</x:f>
        <x:v>0</x:v>
      </x:c>
      <x:c r="AH94" s="44" t="n">
        <x:f>IF(ISNUMBER(P94),1,0)</x:f>
        <x:v>0</x:v>
      </x:c>
      <x:c r="AI94" s="44" t="n">
        <x:f>IF(ISNUMBER(O94),1,0)</x:f>
        <x:v>0</x:v>
      </x:c>
    </x:row>
    <x:row r="95" ht="22" customHeight="1">
      <x:c r="A95" s="26"/>
      <x:c r="B95" s="26"/>
      <x:c r="C95" s="14"/>
      <x:c r="D95" s="14"/>
      <x:c r="E95" s="14"/>
      <x:c r="F95" s="28"/>
      <x:c r="G95" s="14"/>
      <x:c r="H95" s="30"/>
      <x:c r="I95" s="30"/>
      <x:c r="J95" s="30"/>
      <x:c r="K95" s="30"/>
      <x:c r="L95" s="30"/>
      <x:c r="M95" s="30"/>
      <x:c r="N95" s="30"/>
      <x:c r="O95" s="32"/>
      <x:c r="P95" s="34"/>
      <x:c r="Q95" s="14"/>
      <x:c r="R95" s="14"/>
      <x:c r="S95" s="36" t="str">
        <x:f>IF(COUNT(J95:M95)&lt;4,"",SUM(J95:M95))</x:f>
      </x:c>
      <x:c r="T95" s="38" t="str">
        <x:f>IF(OR(S95="",I95="",I95&lt;=0),"",S95/I95)</x:f>
      </x:c>
      <x:c r="U95" s="38" t="str">
        <x:f>IF(OR(L95="",I95="",I95&lt;=0),"",L95/I95)</x:f>
      </x:c>
      <x:c r="V95" s="38" t="str">
        <x:f>IF(OR(M95="",I95="",I95&lt;=0),"",M95/I95)</x:f>
      </x:c>
      <x:c r="W95" s="38" t="str">
        <x:f>IF(OR(N95="",I95="",I95&lt;=0),"",N95/I95)</x:f>
      </x:c>
      <x:c r="X95" s="38" t="str">
        <x:f>IF(OR(O95="",F95="",F95&lt;=0),"",O95/F95)</x:f>
      </x:c>
      <x:c r="Y95" s="40" t="str">
        <x:f>IF(OR(A95="",B95=""),"",B95-A95)</x:f>
      </x:c>
      <x:c r="Z95" s="8" t="str">
        <x:f>IF(COUNTA(A95:R95)=0,"",IF(OR(A95="",B95="",C95="",G95="",H95=""),"INCOMPLETO",IF(B95&lt;A95,"DATA INVÁLIDA",IF(AND(G95="7d",OR(Y95&lt;7,Y95&gt;10)),"FORA DA JANELA",IF(AND(G95="30d",OR(Y95&lt;30,Y95&gt;35)),"FORA DA JANELA",IF(COUNTIFS($C$2:$C$201,C95,$G$2:$G$201,G95)&gt;1,"DUPLICADO","OK"))))))</x:f>
      </x:c>
      <x:c r="AA95" s="44" t="n">
        <x:f>IF(ISNUMBER(H95),1,0)</x:f>
        <x:v>0</x:v>
      </x:c>
      <x:c r="AB95" s="44" t="n">
        <x:f>IF(ISNUMBER(I95),1,0)</x:f>
        <x:v>0</x:v>
      </x:c>
      <x:c r="AC95" s="44" t="n">
        <x:f>IF(ISNUMBER(T95),1,0)</x:f>
        <x:v>0</x:v>
      </x:c>
      <x:c r="AD95" s="44" t="n">
        <x:f>IF(ISNUMBER(U95),1,0)</x:f>
        <x:v>0</x:v>
      </x:c>
      <x:c r="AE95" s="44" t="n">
        <x:f>IF(ISNUMBER(V95),1,0)</x:f>
        <x:v>0</x:v>
      </x:c>
      <x:c r="AF95" s="44" t="n">
        <x:f>IF(ISNUMBER(W95),1,0)</x:f>
        <x:v>0</x:v>
      </x:c>
      <x:c r="AG95" s="44" t="n">
        <x:f>IF(ISNUMBER(X95),1,0)</x:f>
        <x:v>0</x:v>
      </x:c>
      <x:c r="AH95" s="44" t="n">
        <x:f>IF(ISNUMBER(P95),1,0)</x:f>
        <x:v>0</x:v>
      </x:c>
      <x:c r="AI95" s="44" t="n">
        <x:f>IF(ISNUMBER(O95),1,0)</x:f>
        <x:v>0</x:v>
      </x:c>
    </x:row>
    <x:row r="96" ht="22" customHeight="1">
      <x:c r="A96" s="26"/>
      <x:c r="B96" s="26"/>
      <x:c r="C96" s="14"/>
      <x:c r="D96" s="14"/>
      <x:c r="E96" s="14"/>
      <x:c r="F96" s="28"/>
      <x:c r="G96" s="14"/>
      <x:c r="H96" s="30"/>
      <x:c r="I96" s="30"/>
      <x:c r="J96" s="30"/>
      <x:c r="K96" s="30"/>
      <x:c r="L96" s="30"/>
      <x:c r="M96" s="30"/>
      <x:c r="N96" s="30"/>
      <x:c r="O96" s="32"/>
      <x:c r="P96" s="34"/>
      <x:c r="Q96" s="14"/>
      <x:c r="R96" s="14"/>
      <x:c r="S96" s="36" t="str">
        <x:f>IF(COUNT(J96:M96)&lt;4,"",SUM(J96:M96))</x:f>
      </x:c>
      <x:c r="T96" s="38" t="str">
        <x:f>IF(OR(S96="",I96="",I96&lt;=0),"",S96/I96)</x:f>
      </x:c>
      <x:c r="U96" s="38" t="str">
        <x:f>IF(OR(L96="",I96="",I96&lt;=0),"",L96/I96)</x:f>
      </x:c>
      <x:c r="V96" s="38" t="str">
        <x:f>IF(OR(M96="",I96="",I96&lt;=0),"",M96/I96)</x:f>
      </x:c>
      <x:c r="W96" s="38" t="str">
        <x:f>IF(OR(N96="",I96="",I96&lt;=0),"",N96/I96)</x:f>
      </x:c>
      <x:c r="X96" s="38" t="str">
        <x:f>IF(OR(O96="",F96="",F96&lt;=0),"",O96/F96)</x:f>
      </x:c>
      <x:c r="Y96" s="40" t="str">
        <x:f>IF(OR(A96="",B96=""),"",B96-A96)</x:f>
      </x:c>
      <x:c r="Z96" s="8" t="str">
        <x:f>IF(COUNTA(A96:R96)=0,"",IF(OR(A96="",B96="",C96="",G96="",H96=""),"INCOMPLETO",IF(B96&lt;A96,"DATA INVÁLIDA",IF(AND(G96="7d",OR(Y96&lt;7,Y96&gt;10)),"FORA DA JANELA",IF(AND(G96="30d",OR(Y96&lt;30,Y96&gt;35)),"FORA DA JANELA",IF(COUNTIFS($C$2:$C$201,C96,$G$2:$G$201,G96)&gt;1,"DUPLICADO","OK"))))))</x:f>
      </x:c>
      <x:c r="AA96" s="44" t="n">
        <x:f>IF(ISNUMBER(H96),1,0)</x:f>
        <x:v>0</x:v>
      </x:c>
      <x:c r="AB96" s="44" t="n">
        <x:f>IF(ISNUMBER(I96),1,0)</x:f>
        <x:v>0</x:v>
      </x:c>
      <x:c r="AC96" s="44" t="n">
        <x:f>IF(ISNUMBER(T96),1,0)</x:f>
        <x:v>0</x:v>
      </x:c>
      <x:c r="AD96" s="44" t="n">
        <x:f>IF(ISNUMBER(U96),1,0)</x:f>
        <x:v>0</x:v>
      </x:c>
      <x:c r="AE96" s="44" t="n">
        <x:f>IF(ISNUMBER(V96),1,0)</x:f>
        <x:v>0</x:v>
      </x:c>
      <x:c r="AF96" s="44" t="n">
        <x:f>IF(ISNUMBER(W96),1,0)</x:f>
        <x:v>0</x:v>
      </x:c>
      <x:c r="AG96" s="44" t="n">
        <x:f>IF(ISNUMBER(X96),1,0)</x:f>
        <x:v>0</x:v>
      </x:c>
      <x:c r="AH96" s="44" t="n">
        <x:f>IF(ISNUMBER(P96),1,0)</x:f>
        <x:v>0</x:v>
      </x:c>
      <x:c r="AI96" s="44" t="n">
        <x:f>IF(ISNUMBER(O96),1,0)</x:f>
        <x:v>0</x:v>
      </x:c>
    </x:row>
    <x:row r="97" ht="22" customHeight="1">
      <x:c r="A97" s="26"/>
      <x:c r="B97" s="26"/>
      <x:c r="C97" s="14"/>
      <x:c r="D97" s="14"/>
      <x:c r="E97" s="14"/>
      <x:c r="F97" s="28"/>
      <x:c r="G97" s="14"/>
      <x:c r="H97" s="30"/>
      <x:c r="I97" s="30"/>
      <x:c r="J97" s="30"/>
      <x:c r="K97" s="30"/>
      <x:c r="L97" s="30"/>
      <x:c r="M97" s="30"/>
      <x:c r="N97" s="30"/>
      <x:c r="O97" s="32"/>
      <x:c r="P97" s="34"/>
      <x:c r="Q97" s="14"/>
      <x:c r="R97" s="14"/>
      <x:c r="S97" s="36" t="str">
        <x:f>IF(COUNT(J97:M97)&lt;4,"",SUM(J97:M97))</x:f>
      </x:c>
      <x:c r="T97" s="38" t="str">
        <x:f>IF(OR(S97="",I97="",I97&lt;=0),"",S97/I97)</x:f>
      </x:c>
      <x:c r="U97" s="38" t="str">
        <x:f>IF(OR(L97="",I97="",I97&lt;=0),"",L97/I97)</x:f>
      </x:c>
      <x:c r="V97" s="38" t="str">
        <x:f>IF(OR(M97="",I97="",I97&lt;=0),"",M97/I97)</x:f>
      </x:c>
      <x:c r="W97" s="38" t="str">
        <x:f>IF(OR(N97="",I97="",I97&lt;=0),"",N97/I97)</x:f>
      </x:c>
      <x:c r="X97" s="38" t="str">
        <x:f>IF(OR(O97="",F97="",F97&lt;=0),"",O97/F97)</x:f>
      </x:c>
      <x:c r="Y97" s="40" t="str">
        <x:f>IF(OR(A97="",B97=""),"",B97-A97)</x:f>
      </x:c>
      <x:c r="Z97" s="8" t="str">
        <x:f>IF(COUNTA(A97:R97)=0,"",IF(OR(A97="",B97="",C97="",G97="",H97=""),"INCOMPLETO",IF(B97&lt;A97,"DATA INVÁLIDA",IF(AND(G97="7d",OR(Y97&lt;7,Y97&gt;10)),"FORA DA JANELA",IF(AND(G97="30d",OR(Y97&lt;30,Y97&gt;35)),"FORA DA JANELA",IF(COUNTIFS($C$2:$C$201,C97,$G$2:$G$201,G97)&gt;1,"DUPLICADO","OK"))))))</x:f>
      </x:c>
      <x:c r="AA97" s="44" t="n">
        <x:f>IF(ISNUMBER(H97),1,0)</x:f>
        <x:v>0</x:v>
      </x:c>
      <x:c r="AB97" s="44" t="n">
        <x:f>IF(ISNUMBER(I97),1,0)</x:f>
        <x:v>0</x:v>
      </x:c>
      <x:c r="AC97" s="44" t="n">
        <x:f>IF(ISNUMBER(T97),1,0)</x:f>
        <x:v>0</x:v>
      </x:c>
      <x:c r="AD97" s="44" t="n">
        <x:f>IF(ISNUMBER(U97),1,0)</x:f>
        <x:v>0</x:v>
      </x:c>
      <x:c r="AE97" s="44" t="n">
        <x:f>IF(ISNUMBER(V97),1,0)</x:f>
        <x:v>0</x:v>
      </x:c>
      <x:c r="AF97" s="44" t="n">
        <x:f>IF(ISNUMBER(W97),1,0)</x:f>
        <x:v>0</x:v>
      </x:c>
      <x:c r="AG97" s="44" t="n">
        <x:f>IF(ISNUMBER(X97),1,0)</x:f>
        <x:v>0</x:v>
      </x:c>
      <x:c r="AH97" s="44" t="n">
        <x:f>IF(ISNUMBER(P97),1,0)</x:f>
        <x:v>0</x:v>
      </x:c>
      <x:c r="AI97" s="44" t="n">
        <x:f>IF(ISNUMBER(O97),1,0)</x:f>
        <x:v>0</x:v>
      </x:c>
    </x:row>
    <x:row r="98" ht="22" customHeight="1">
      <x:c r="A98" s="26"/>
      <x:c r="B98" s="26"/>
      <x:c r="C98" s="14"/>
      <x:c r="D98" s="14"/>
      <x:c r="E98" s="14"/>
      <x:c r="F98" s="28"/>
      <x:c r="G98" s="14"/>
      <x:c r="H98" s="30"/>
      <x:c r="I98" s="30"/>
      <x:c r="J98" s="30"/>
      <x:c r="K98" s="30"/>
      <x:c r="L98" s="30"/>
      <x:c r="M98" s="30"/>
      <x:c r="N98" s="30"/>
      <x:c r="O98" s="32"/>
      <x:c r="P98" s="34"/>
      <x:c r="Q98" s="14"/>
      <x:c r="R98" s="14"/>
      <x:c r="S98" s="36" t="str">
        <x:f>IF(COUNT(J98:M98)&lt;4,"",SUM(J98:M98))</x:f>
      </x:c>
      <x:c r="T98" s="38" t="str">
        <x:f>IF(OR(S98="",I98="",I98&lt;=0),"",S98/I98)</x:f>
      </x:c>
      <x:c r="U98" s="38" t="str">
        <x:f>IF(OR(L98="",I98="",I98&lt;=0),"",L98/I98)</x:f>
      </x:c>
      <x:c r="V98" s="38" t="str">
        <x:f>IF(OR(M98="",I98="",I98&lt;=0),"",M98/I98)</x:f>
      </x:c>
      <x:c r="W98" s="38" t="str">
        <x:f>IF(OR(N98="",I98="",I98&lt;=0),"",N98/I98)</x:f>
      </x:c>
      <x:c r="X98" s="38" t="str">
        <x:f>IF(OR(O98="",F98="",F98&lt;=0),"",O98/F98)</x:f>
      </x:c>
      <x:c r="Y98" s="40" t="str">
        <x:f>IF(OR(A98="",B98=""),"",B98-A98)</x:f>
      </x:c>
      <x:c r="Z98" s="8" t="str">
        <x:f>IF(COUNTA(A98:R98)=0,"",IF(OR(A98="",B98="",C98="",G98="",H98=""),"INCOMPLETO",IF(B98&lt;A98,"DATA INVÁLIDA",IF(AND(G98="7d",OR(Y98&lt;7,Y98&gt;10)),"FORA DA JANELA",IF(AND(G98="30d",OR(Y98&lt;30,Y98&gt;35)),"FORA DA JANELA",IF(COUNTIFS($C$2:$C$201,C98,$G$2:$G$201,G98)&gt;1,"DUPLICADO","OK"))))))</x:f>
      </x:c>
      <x:c r="AA98" s="44" t="n">
        <x:f>IF(ISNUMBER(H98),1,0)</x:f>
        <x:v>0</x:v>
      </x:c>
      <x:c r="AB98" s="44" t="n">
        <x:f>IF(ISNUMBER(I98),1,0)</x:f>
        <x:v>0</x:v>
      </x:c>
      <x:c r="AC98" s="44" t="n">
        <x:f>IF(ISNUMBER(T98),1,0)</x:f>
        <x:v>0</x:v>
      </x:c>
      <x:c r="AD98" s="44" t="n">
        <x:f>IF(ISNUMBER(U98),1,0)</x:f>
        <x:v>0</x:v>
      </x:c>
      <x:c r="AE98" s="44" t="n">
        <x:f>IF(ISNUMBER(V98),1,0)</x:f>
        <x:v>0</x:v>
      </x:c>
      <x:c r="AF98" s="44" t="n">
        <x:f>IF(ISNUMBER(W98),1,0)</x:f>
        <x:v>0</x:v>
      </x:c>
      <x:c r="AG98" s="44" t="n">
        <x:f>IF(ISNUMBER(X98),1,0)</x:f>
        <x:v>0</x:v>
      </x:c>
      <x:c r="AH98" s="44" t="n">
        <x:f>IF(ISNUMBER(P98),1,0)</x:f>
        <x:v>0</x:v>
      </x:c>
      <x:c r="AI98" s="44" t="n">
        <x:f>IF(ISNUMBER(O98),1,0)</x:f>
        <x:v>0</x:v>
      </x:c>
    </x:row>
    <x:row r="99" ht="22" customHeight="1">
      <x:c r="A99" s="26"/>
      <x:c r="B99" s="26"/>
      <x:c r="C99" s="14"/>
      <x:c r="D99" s="14"/>
      <x:c r="E99" s="14"/>
      <x:c r="F99" s="28"/>
      <x:c r="G99" s="14"/>
      <x:c r="H99" s="30"/>
      <x:c r="I99" s="30"/>
      <x:c r="J99" s="30"/>
      <x:c r="K99" s="30"/>
      <x:c r="L99" s="30"/>
      <x:c r="M99" s="30"/>
      <x:c r="N99" s="30"/>
      <x:c r="O99" s="32"/>
      <x:c r="P99" s="34"/>
      <x:c r="Q99" s="14"/>
      <x:c r="R99" s="14"/>
      <x:c r="S99" s="36" t="str">
        <x:f>IF(COUNT(J99:M99)&lt;4,"",SUM(J99:M99))</x:f>
      </x:c>
      <x:c r="T99" s="38" t="str">
        <x:f>IF(OR(S99="",I99="",I99&lt;=0),"",S99/I99)</x:f>
      </x:c>
      <x:c r="U99" s="38" t="str">
        <x:f>IF(OR(L99="",I99="",I99&lt;=0),"",L99/I99)</x:f>
      </x:c>
      <x:c r="V99" s="38" t="str">
        <x:f>IF(OR(M99="",I99="",I99&lt;=0),"",M99/I99)</x:f>
      </x:c>
      <x:c r="W99" s="38" t="str">
        <x:f>IF(OR(N99="",I99="",I99&lt;=0),"",N99/I99)</x:f>
      </x:c>
      <x:c r="X99" s="38" t="str">
        <x:f>IF(OR(O99="",F99="",F99&lt;=0),"",O99/F99)</x:f>
      </x:c>
      <x:c r="Y99" s="40" t="str">
        <x:f>IF(OR(A99="",B99=""),"",B99-A99)</x:f>
      </x:c>
      <x:c r="Z99" s="8" t="str">
        <x:f>IF(COUNTA(A99:R99)=0,"",IF(OR(A99="",B99="",C99="",G99="",H99=""),"INCOMPLETO",IF(B99&lt;A99,"DATA INVÁLIDA",IF(AND(G99="7d",OR(Y99&lt;7,Y99&gt;10)),"FORA DA JANELA",IF(AND(G99="30d",OR(Y99&lt;30,Y99&gt;35)),"FORA DA JANELA",IF(COUNTIFS($C$2:$C$201,C99,$G$2:$G$201,G99)&gt;1,"DUPLICADO","OK"))))))</x:f>
      </x:c>
      <x:c r="AA99" s="44" t="n">
        <x:f>IF(ISNUMBER(H99),1,0)</x:f>
        <x:v>0</x:v>
      </x:c>
      <x:c r="AB99" s="44" t="n">
        <x:f>IF(ISNUMBER(I99),1,0)</x:f>
        <x:v>0</x:v>
      </x:c>
      <x:c r="AC99" s="44" t="n">
        <x:f>IF(ISNUMBER(T99),1,0)</x:f>
        <x:v>0</x:v>
      </x:c>
      <x:c r="AD99" s="44" t="n">
        <x:f>IF(ISNUMBER(U99),1,0)</x:f>
        <x:v>0</x:v>
      </x:c>
      <x:c r="AE99" s="44" t="n">
        <x:f>IF(ISNUMBER(V99),1,0)</x:f>
        <x:v>0</x:v>
      </x:c>
      <x:c r="AF99" s="44" t="n">
        <x:f>IF(ISNUMBER(W99),1,0)</x:f>
        <x:v>0</x:v>
      </x:c>
      <x:c r="AG99" s="44" t="n">
        <x:f>IF(ISNUMBER(X99),1,0)</x:f>
        <x:v>0</x:v>
      </x:c>
      <x:c r="AH99" s="44" t="n">
        <x:f>IF(ISNUMBER(P99),1,0)</x:f>
        <x:v>0</x:v>
      </x:c>
      <x:c r="AI99" s="44" t="n">
        <x:f>IF(ISNUMBER(O99),1,0)</x:f>
        <x:v>0</x:v>
      </x:c>
    </x:row>
    <x:row r="100" ht="22" customHeight="1">
      <x:c r="A100" s="26"/>
      <x:c r="B100" s="26"/>
      <x:c r="C100" s="14"/>
      <x:c r="D100" s="14"/>
      <x:c r="E100" s="14"/>
      <x:c r="F100" s="28"/>
      <x:c r="G100" s="14"/>
      <x:c r="H100" s="30"/>
      <x:c r="I100" s="30"/>
      <x:c r="J100" s="30"/>
      <x:c r="K100" s="30"/>
      <x:c r="L100" s="30"/>
      <x:c r="M100" s="30"/>
      <x:c r="N100" s="30"/>
      <x:c r="O100" s="32"/>
      <x:c r="P100" s="34"/>
      <x:c r="Q100" s="14"/>
      <x:c r="R100" s="14"/>
      <x:c r="S100" s="36" t="str">
        <x:f>IF(COUNT(J100:M100)&lt;4,"",SUM(J100:M100))</x:f>
      </x:c>
      <x:c r="T100" s="38" t="str">
        <x:f>IF(OR(S100="",I100="",I100&lt;=0),"",S100/I100)</x:f>
      </x:c>
      <x:c r="U100" s="38" t="str">
        <x:f>IF(OR(L100="",I100="",I100&lt;=0),"",L100/I100)</x:f>
      </x:c>
      <x:c r="V100" s="38" t="str">
        <x:f>IF(OR(M100="",I100="",I100&lt;=0),"",M100/I100)</x:f>
      </x:c>
      <x:c r="W100" s="38" t="str">
        <x:f>IF(OR(N100="",I100="",I100&lt;=0),"",N100/I100)</x:f>
      </x:c>
      <x:c r="X100" s="38" t="str">
        <x:f>IF(OR(O100="",F100="",F100&lt;=0),"",O100/F100)</x:f>
      </x:c>
      <x:c r="Y100" s="40" t="str">
        <x:f>IF(OR(A100="",B100=""),"",B100-A100)</x:f>
      </x:c>
      <x:c r="Z100" s="8" t="str">
        <x:f>IF(COUNTA(A100:R100)=0,"",IF(OR(A100="",B100="",C100="",G100="",H100=""),"INCOMPLETO",IF(B100&lt;A100,"DATA INVÁLIDA",IF(AND(G100="7d",OR(Y100&lt;7,Y100&gt;10)),"FORA DA JANELA",IF(AND(G100="30d",OR(Y100&lt;30,Y100&gt;35)),"FORA DA JANELA",IF(COUNTIFS($C$2:$C$201,C100,$G$2:$G$201,G100)&gt;1,"DUPLICADO","OK"))))))</x:f>
      </x:c>
      <x:c r="AA100" s="44" t="n">
        <x:f>IF(ISNUMBER(H100),1,0)</x:f>
        <x:v>0</x:v>
      </x:c>
      <x:c r="AB100" s="44" t="n">
        <x:f>IF(ISNUMBER(I100),1,0)</x:f>
        <x:v>0</x:v>
      </x:c>
      <x:c r="AC100" s="44" t="n">
        <x:f>IF(ISNUMBER(T100),1,0)</x:f>
        <x:v>0</x:v>
      </x:c>
      <x:c r="AD100" s="44" t="n">
        <x:f>IF(ISNUMBER(U100),1,0)</x:f>
        <x:v>0</x:v>
      </x:c>
      <x:c r="AE100" s="44" t="n">
        <x:f>IF(ISNUMBER(V100),1,0)</x:f>
        <x:v>0</x:v>
      </x:c>
      <x:c r="AF100" s="44" t="n">
        <x:f>IF(ISNUMBER(W100),1,0)</x:f>
        <x:v>0</x:v>
      </x:c>
      <x:c r="AG100" s="44" t="n">
        <x:f>IF(ISNUMBER(X100),1,0)</x:f>
        <x:v>0</x:v>
      </x:c>
      <x:c r="AH100" s="44" t="n">
        <x:f>IF(ISNUMBER(P100),1,0)</x:f>
        <x:v>0</x:v>
      </x:c>
      <x:c r="AI100" s="44" t="n">
        <x:f>IF(ISNUMBER(O100),1,0)</x:f>
        <x:v>0</x:v>
      </x:c>
    </x:row>
    <x:row r="101" ht="22" customHeight="1">
      <x:c r="A101" s="26"/>
      <x:c r="B101" s="26"/>
      <x:c r="C101" s="14"/>
      <x:c r="D101" s="14"/>
      <x:c r="E101" s="14"/>
      <x:c r="F101" s="28"/>
      <x:c r="G101" s="14"/>
      <x:c r="H101" s="30"/>
      <x:c r="I101" s="30"/>
      <x:c r="J101" s="30"/>
      <x:c r="K101" s="30"/>
      <x:c r="L101" s="30"/>
      <x:c r="M101" s="30"/>
      <x:c r="N101" s="30"/>
      <x:c r="O101" s="32"/>
      <x:c r="P101" s="34"/>
      <x:c r="Q101" s="14"/>
      <x:c r="R101" s="14"/>
      <x:c r="S101" s="36" t="str">
        <x:f>IF(COUNT(J101:M101)&lt;4,"",SUM(J101:M101))</x:f>
      </x:c>
      <x:c r="T101" s="38" t="str">
        <x:f>IF(OR(S101="",I101="",I101&lt;=0),"",S101/I101)</x:f>
      </x:c>
      <x:c r="U101" s="38" t="str">
        <x:f>IF(OR(L101="",I101="",I101&lt;=0),"",L101/I101)</x:f>
      </x:c>
      <x:c r="V101" s="38" t="str">
        <x:f>IF(OR(M101="",I101="",I101&lt;=0),"",M101/I101)</x:f>
      </x:c>
      <x:c r="W101" s="38" t="str">
        <x:f>IF(OR(N101="",I101="",I101&lt;=0),"",N101/I101)</x:f>
      </x:c>
      <x:c r="X101" s="38" t="str">
        <x:f>IF(OR(O101="",F101="",F101&lt;=0),"",O101/F101)</x:f>
      </x:c>
      <x:c r="Y101" s="40" t="str">
        <x:f>IF(OR(A101="",B101=""),"",B101-A101)</x:f>
      </x:c>
      <x:c r="Z101" s="8" t="str">
        <x:f>IF(COUNTA(A101:R101)=0,"",IF(OR(A101="",B101="",C101="",G101="",H101=""),"INCOMPLETO",IF(B101&lt;A101,"DATA INVÁLIDA",IF(AND(G101="7d",OR(Y101&lt;7,Y101&gt;10)),"FORA DA JANELA",IF(AND(G101="30d",OR(Y101&lt;30,Y101&gt;35)),"FORA DA JANELA",IF(COUNTIFS($C$2:$C$201,C101,$G$2:$G$201,G101)&gt;1,"DUPLICADO","OK"))))))</x:f>
      </x:c>
      <x:c r="AA101" s="44" t="n">
        <x:f>IF(ISNUMBER(H101),1,0)</x:f>
        <x:v>0</x:v>
      </x:c>
      <x:c r="AB101" s="44" t="n">
        <x:f>IF(ISNUMBER(I101),1,0)</x:f>
        <x:v>0</x:v>
      </x:c>
      <x:c r="AC101" s="44" t="n">
        <x:f>IF(ISNUMBER(T101),1,0)</x:f>
        <x:v>0</x:v>
      </x:c>
      <x:c r="AD101" s="44" t="n">
        <x:f>IF(ISNUMBER(U101),1,0)</x:f>
        <x:v>0</x:v>
      </x:c>
      <x:c r="AE101" s="44" t="n">
        <x:f>IF(ISNUMBER(V101),1,0)</x:f>
        <x:v>0</x:v>
      </x:c>
      <x:c r="AF101" s="44" t="n">
        <x:f>IF(ISNUMBER(W101),1,0)</x:f>
        <x:v>0</x:v>
      </x:c>
      <x:c r="AG101" s="44" t="n">
        <x:f>IF(ISNUMBER(X101),1,0)</x:f>
        <x:v>0</x:v>
      </x:c>
      <x:c r="AH101" s="44" t="n">
        <x:f>IF(ISNUMBER(P101),1,0)</x:f>
        <x:v>0</x:v>
      </x:c>
      <x:c r="AI101" s="44" t="n">
        <x:f>IF(ISNUMBER(O101),1,0)</x:f>
        <x:v>0</x:v>
      </x:c>
    </x:row>
    <x:row r="102" ht="22" customHeight="1">
      <x:c r="A102" s="26"/>
      <x:c r="B102" s="26"/>
      <x:c r="C102" s="14"/>
      <x:c r="D102" s="14"/>
      <x:c r="E102" s="14"/>
      <x:c r="F102" s="28"/>
      <x:c r="G102" s="14"/>
      <x:c r="H102" s="30"/>
      <x:c r="I102" s="30"/>
      <x:c r="J102" s="30"/>
      <x:c r="K102" s="30"/>
      <x:c r="L102" s="30"/>
      <x:c r="M102" s="30"/>
      <x:c r="N102" s="30"/>
      <x:c r="O102" s="32"/>
      <x:c r="P102" s="34"/>
      <x:c r="Q102" s="14"/>
      <x:c r="R102" s="14"/>
      <x:c r="S102" s="36" t="str">
        <x:f>IF(COUNT(J102:M102)&lt;4,"",SUM(J102:M102))</x:f>
      </x:c>
      <x:c r="T102" s="38" t="str">
        <x:f>IF(OR(S102="",I102="",I102&lt;=0),"",S102/I102)</x:f>
      </x:c>
      <x:c r="U102" s="38" t="str">
        <x:f>IF(OR(L102="",I102="",I102&lt;=0),"",L102/I102)</x:f>
      </x:c>
      <x:c r="V102" s="38" t="str">
        <x:f>IF(OR(M102="",I102="",I102&lt;=0),"",M102/I102)</x:f>
      </x:c>
      <x:c r="W102" s="38" t="str">
        <x:f>IF(OR(N102="",I102="",I102&lt;=0),"",N102/I102)</x:f>
      </x:c>
      <x:c r="X102" s="38" t="str">
        <x:f>IF(OR(O102="",F102="",F102&lt;=0),"",O102/F102)</x:f>
      </x:c>
      <x:c r="Y102" s="40" t="str">
        <x:f>IF(OR(A102="",B102=""),"",B102-A102)</x:f>
      </x:c>
      <x:c r="Z102" s="8" t="str">
        <x:f>IF(COUNTA(A102:R102)=0,"",IF(OR(A102="",B102="",C102="",G102="",H102=""),"INCOMPLETO",IF(B102&lt;A102,"DATA INVÁLIDA",IF(AND(G102="7d",OR(Y102&lt;7,Y102&gt;10)),"FORA DA JANELA",IF(AND(G102="30d",OR(Y102&lt;30,Y102&gt;35)),"FORA DA JANELA",IF(COUNTIFS($C$2:$C$201,C102,$G$2:$G$201,G102)&gt;1,"DUPLICADO","OK"))))))</x:f>
      </x:c>
      <x:c r="AA102" s="44" t="n">
        <x:f>IF(ISNUMBER(H102),1,0)</x:f>
        <x:v>0</x:v>
      </x:c>
      <x:c r="AB102" s="44" t="n">
        <x:f>IF(ISNUMBER(I102),1,0)</x:f>
        <x:v>0</x:v>
      </x:c>
      <x:c r="AC102" s="44" t="n">
        <x:f>IF(ISNUMBER(T102),1,0)</x:f>
        <x:v>0</x:v>
      </x:c>
      <x:c r="AD102" s="44" t="n">
        <x:f>IF(ISNUMBER(U102),1,0)</x:f>
        <x:v>0</x:v>
      </x:c>
      <x:c r="AE102" s="44" t="n">
        <x:f>IF(ISNUMBER(V102),1,0)</x:f>
        <x:v>0</x:v>
      </x:c>
      <x:c r="AF102" s="44" t="n">
        <x:f>IF(ISNUMBER(W102),1,0)</x:f>
        <x:v>0</x:v>
      </x:c>
      <x:c r="AG102" s="44" t="n">
        <x:f>IF(ISNUMBER(X102),1,0)</x:f>
        <x:v>0</x:v>
      </x:c>
      <x:c r="AH102" s="44" t="n">
        <x:f>IF(ISNUMBER(P102),1,0)</x:f>
        <x:v>0</x:v>
      </x:c>
      <x:c r="AI102" s="44" t="n">
        <x:f>IF(ISNUMBER(O102),1,0)</x:f>
        <x:v>0</x:v>
      </x:c>
    </x:row>
    <x:row r="103" ht="22" customHeight="1">
      <x:c r="A103" s="26"/>
      <x:c r="B103" s="26"/>
      <x:c r="C103" s="14"/>
      <x:c r="D103" s="14"/>
      <x:c r="E103" s="14"/>
      <x:c r="F103" s="28"/>
      <x:c r="G103" s="14"/>
      <x:c r="H103" s="30"/>
      <x:c r="I103" s="30"/>
      <x:c r="J103" s="30"/>
      <x:c r="K103" s="30"/>
      <x:c r="L103" s="30"/>
      <x:c r="M103" s="30"/>
      <x:c r="N103" s="30"/>
      <x:c r="O103" s="32"/>
      <x:c r="P103" s="34"/>
      <x:c r="Q103" s="14"/>
      <x:c r="R103" s="14"/>
      <x:c r="S103" s="36" t="str">
        <x:f>IF(COUNT(J103:M103)&lt;4,"",SUM(J103:M103))</x:f>
      </x:c>
      <x:c r="T103" s="38" t="str">
        <x:f>IF(OR(S103="",I103="",I103&lt;=0),"",S103/I103)</x:f>
      </x:c>
      <x:c r="U103" s="38" t="str">
        <x:f>IF(OR(L103="",I103="",I103&lt;=0),"",L103/I103)</x:f>
      </x:c>
      <x:c r="V103" s="38" t="str">
        <x:f>IF(OR(M103="",I103="",I103&lt;=0),"",M103/I103)</x:f>
      </x:c>
      <x:c r="W103" s="38" t="str">
        <x:f>IF(OR(N103="",I103="",I103&lt;=0),"",N103/I103)</x:f>
      </x:c>
      <x:c r="X103" s="38" t="str">
        <x:f>IF(OR(O103="",F103="",F103&lt;=0),"",O103/F103)</x:f>
      </x:c>
      <x:c r="Y103" s="40" t="str">
        <x:f>IF(OR(A103="",B103=""),"",B103-A103)</x:f>
      </x:c>
      <x:c r="Z103" s="8" t="str">
        <x:f>IF(COUNTA(A103:R103)=0,"",IF(OR(A103="",B103="",C103="",G103="",H103=""),"INCOMPLETO",IF(B103&lt;A103,"DATA INVÁLIDA",IF(AND(G103="7d",OR(Y103&lt;7,Y103&gt;10)),"FORA DA JANELA",IF(AND(G103="30d",OR(Y103&lt;30,Y103&gt;35)),"FORA DA JANELA",IF(COUNTIFS($C$2:$C$201,C103,$G$2:$G$201,G103)&gt;1,"DUPLICADO","OK"))))))</x:f>
      </x:c>
      <x:c r="AA103" s="44" t="n">
        <x:f>IF(ISNUMBER(H103),1,0)</x:f>
        <x:v>0</x:v>
      </x:c>
      <x:c r="AB103" s="44" t="n">
        <x:f>IF(ISNUMBER(I103),1,0)</x:f>
        <x:v>0</x:v>
      </x:c>
      <x:c r="AC103" s="44" t="n">
        <x:f>IF(ISNUMBER(T103),1,0)</x:f>
        <x:v>0</x:v>
      </x:c>
      <x:c r="AD103" s="44" t="n">
        <x:f>IF(ISNUMBER(U103),1,0)</x:f>
        <x:v>0</x:v>
      </x:c>
      <x:c r="AE103" s="44" t="n">
        <x:f>IF(ISNUMBER(V103),1,0)</x:f>
        <x:v>0</x:v>
      </x:c>
      <x:c r="AF103" s="44" t="n">
        <x:f>IF(ISNUMBER(W103),1,0)</x:f>
        <x:v>0</x:v>
      </x:c>
      <x:c r="AG103" s="44" t="n">
        <x:f>IF(ISNUMBER(X103),1,0)</x:f>
        <x:v>0</x:v>
      </x:c>
      <x:c r="AH103" s="44" t="n">
        <x:f>IF(ISNUMBER(P103),1,0)</x:f>
        <x:v>0</x:v>
      </x:c>
      <x:c r="AI103" s="44" t="n">
        <x:f>IF(ISNUMBER(O103),1,0)</x:f>
        <x:v>0</x:v>
      </x:c>
    </x:row>
    <x:row r="104" ht="22" customHeight="1">
      <x:c r="A104" s="26"/>
      <x:c r="B104" s="26"/>
      <x:c r="C104" s="14"/>
      <x:c r="D104" s="14"/>
      <x:c r="E104" s="14"/>
      <x:c r="F104" s="28"/>
      <x:c r="G104" s="14"/>
      <x:c r="H104" s="30"/>
      <x:c r="I104" s="30"/>
      <x:c r="J104" s="30"/>
      <x:c r="K104" s="30"/>
      <x:c r="L104" s="30"/>
      <x:c r="M104" s="30"/>
      <x:c r="N104" s="30"/>
      <x:c r="O104" s="32"/>
      <x:c r="P104" s="34"/>
      <x:c r="Q104" s="14"/>
      <x:c r="R104" s="14"/>
      <x:c r="S104" s="36" t="str">
        <x:f>IF(COUNT(J104:M104)&lt;4,"",SUM(J104:M104))</x:f>
      </x:c>
      <x:c r="T104" s="38" t="str">
        <x:f>IF(OR(S104="",I104="",I104&lt;=0),"",S104/I104)</x:f>
      </x:c>
      <x:c r="U104" s="38" t="str">
        <x:f>IF(OR(L104="",I104="",I104&lt;=0),"",L104/I104)</x:f>
      </x:c>
      <x:c r="V104" s="38" t="str">
        <x:f>IF(OR(M104="",I104="",I104&lt;=0),"",M104/I104)</x:f>
      </x:c>
      <x:c r="W104" s="38" t="str">
        <x:f>IF(OR(N104="",I104="",I104&lt;=0),"",N104/I104)</x:f>
      </x:c>
      <x:c r="X104" s="38" t="str">
        <x:f>IF(OR(O104="",F104="",F104&lt;=0),"",O104/F104)</x:f>
      </x:c>
      <x:c r="Y104" s="40" t="str">
        <x:f>IF(OR(A104="",B104=""),"",B104-A104)</x:f>
      </x:c>
      <x:c r="Z104" s="8" t="str">
        <x:f>IF(COUNTA(A104:R104)=0,"",IF(OR(A104="",B104="",C104="",G104="",H104=""),"INCOMPLETO",IF(B104&lt;A104,"DATA INVÁLIDA",IF(AND(G104="7d",OR(Y104&lt;7,Y104&gt;10)),"FORA DA JANELA",IF(AND(G104="30d",OR(Y104&lt;30,Y104&gt;35)),"FORA DA JANELA",IF(COUNTIFS($C$2:$C$201,C104,$G$2:$G$201,G104)&gt;1,"DUPLICADO","OK"))))))</x:f>
      </x:c>
      <x:c r="AA104" s="44" t="n">
        <x:f>IF(ISNUMBER(H104),1,0)</x:f>
        <x:v>0</x:v>
      </x:c>
      <x:c r="AB104" s="44" t="n">
        <x:f>IF(ISNUMBER(I104),1,0)</x:f>
        <x:v>0</x:v>
      </x:c>
      <x:c r="AC104" s="44" t="n">
        <x:f>IF(ISNUMBER(T104),1,0)</x:f>
        <x:v>0</x:v>
      </x:c>
      <x:c r="AD104" s="44" t="n">
        <x:f>IF(ISNUMBER(U104),1,0)</x:f>
        <x:v>0</x:v>
      </x:c>
      <x:c r="AE104" s="44" t="n">
        <x:f>IF(ISNUMBER(V104),1,0)</x:f>
        <x:v>0</x:v>
      </x:c>
      <x:c r="AF104" s="44" t="n">
        <x:f>IF(ISNUMBER(W104),1,0)</x:f>
        <x:v>0</x:v>
      </x:c>
      <x:c r="AG104" s="44" t="n">
        <x:f>IF(ISNUMBER(X104),1,0)</x:f>
        <x:v>0</x:v>
      </x:c>
      <x:c r="AH104" s="44" t="n">
        <x:f>IF(ISNUMBER(P104),1,0)</x:f>
        <x:v>0</x:v>
      </x:c>
      <x:c r="AI104" s="44" t="n">
        <x:f>IF(ISNUMBER(O104),1,0)</x:f>
        <x:v>0</x:v>
      </x:c>
    </x:row>
    <x:row r="105" ht="22" customHeight="1">
      <x:c r="A105" s="26"/>
      <x:c r="B105" s="26"/>
      <x:c r="C105" s="14"/>
      <x:c r="D105" s="14"/>
      <x:c r="E105" s="14"/>
      <x:c r="F105" s="28"/>
      <x:c r="G105" s="14"/>
      <x:c r="H105" s="30"/>
      <x:c r="I105" s="30"/>
      <x:c r="J105" s="30"/>
      <x:c r="K105" s="30"/>
      <x:c r="L105" s="30"/>
      <x:c r="M105" s="30"/>
      <x:c r="N105" s="30"/>
      <x:c r="O105" s="32"/>
      <x:c r="P105" s="34"/>
      <x:c r="Q105" s="14"/>
      <x:c r="R105" s="14"/>
      <x:c r="S105" s="36" t="str">
        <x:f>IF(COUNT(J105:M105)&lt;4,"",SUM(J105:M105))</x:f>
      </x:c>
      <x:c r="T105" s="38" t="str">
        <x:f>IF(OR(S105="",I105="",I105&lt;=0),"",S105/I105)</x:f>
      </x:c>
      <x:c r="U105" s="38" t="str">
        <x:f>IF(OR(L105="",I105="",I105&lt;=0),"",L105/I105)</x:f>
      </x:c>
      <x:c r="V105" s="38" t="str">
        <x:f>IF(OR(M105="",I105="",I105&lt;=0),"",M105/I105)</x:f>
      </x:c>
      <x:c r="W105" s="38" t="str">
        <x:f>IF(OR(N105="",I105="",I105&lt;=0),"",N105/I105)</x:f>
      </x:c>
      <x:c r="X105" s="38" t="str">
        <x:f>IF(OR(O105="",F105="",F105&lt;=0),"",O105/F105)</x:f>
      </x:c>
      <x:c r="Y105" s="40" t="str">
        <x:f>IF(OR(A105="",B105=""),"",B105-A105)</x:f>
      </x:c>
      <x:c r="Z105" s="8" t="str">
        <x:f>IF(COUNTA(A105:R105)=0,"",IF(OR(A105="",B105="",C105="",G105="",H105=""),"INCOMPLETO",IF(B105&lt;A105,"DATA INVÁLIDA",IF(AND(G105="7d",OR(Y105&lt;7,Y105&gt;10)),"FORA DA JANELA",IF(AND(G105="30d",OR(Y105&lt;30,Y105&gt;35)),"FORA DA JANELA",IF(COUNTIFS($C$2:$C$201,C105,$G$2:$G$201,G105)&gt;1,"DUPLICADO","OK"))))))</x:f>
      </x:c>
      <x:c r="AA105" s="44" t="n">
        <x:f>IF(ISNUMBER(H105),1,0)</x:f>
        <x:v>0</x:v>
      </x:c>
      <x:c r="AB105" s="44" t="n">
        <x:f>IF(ISNUMBER(I105),1,0)</x:f>
        <x:v>0</x:v>
      </x:c>
      <x:c r="AC105" s="44" t="n">
        <x:f>IF(ISNUMBER(T105),1,0)</x:f>
        <x:v>0</x:v>
      </x:c>
      <x:c r="AD105" s="44" t="n">
        <x:f>IF(ISNUMBER(U105),1,0)</x:f>
        <x:v>0</x:v>
      </x:c>
      <x:c r="AE105" s="44" t="n">
        <x:f>IF(ISNUMBER(V105),1,0)</x:f>
        <x:v>0</x:v>
      </x:c>
      <x:c r="AF105" s="44" t="n">
        <x:f>IF(ISNUMBER(W105),1,0)</x:f>
        <x:v>0</x:v>
      </x:c>
      <x:c r="AG105" s="44" t="n">
        <x:f>IF(ISNUMBER(X105),1,0)</x:f>
        <x:v>0</x:v>
      </x:c>
      <x:c r="AH105" s="44" t="n">
        <x:f>IF(ISNUMBER(P105),1,0)</x:f>
        <x:v>0</x:v>
      </x:c>
      <x:c r="AI105" s="44" t="n">
        <x:f>IF(ISNUMBER(O105),1,0)</x:f>
        <x:v>0</x:v>
      </x:c>
    </x:row>
    <x:row r="106" ht="22" customHeight="1">
      <x:c r="A106" s="26"/>
      <x:c r="B106" s="26"/>
      <x:c r="C106" s="14"/>
      <x:c r="D106" s="14"/>
      <x:c r="E106" s="14"/>
      <x:c r="F106" s="28"/>
      <x:c r="G106" s="14"/>
      <x:c r="H106" s="30"/>
      <x:c r="I106" s="30"/>
      <x:c r="J106" s="30"/>
      <x:c r="K106" s="30"/>
      <x:c r="L106" s="30"/>
      <x:c r="M106" s="30"/>
      <x:c r="N106" s="30"/>
      <x:c r="O106" s="32"/>
      <x:c r="P106" s="34"/>
      <x:c r="Q106" s="14"/>
      <x:c r="R106" s="14"/>
      <x:c r="S106" s="36" t="str">
        <x:f>IF(COUNT(J106:M106)&lt;4,"",SUM(J106:M106))</x:f>
      </x:c>
      <x:c r="T106" s="38" t="str">
        <x:f>IF(OR(S106="",I106="",I106&lt;=0),"",S106/I106)</x:f>
      </x:c>
      <x:c r="U106" s="38" t="str">
        <x:f>IF(OR(L106="",I106="",I106&lt;=0),"",L106/I106)</x:f>
      </x:c>
      <x:c r="V106" s="38" t="str">
        <x:f>IF(OR(M106="",I106="",I106&lt;=0),"",M106/I106)</x:f>
      </x:c>
      <x:c r="W106" s="38" t="str">
        <x:f>IF(OR(N106="",I106="",I106&lt;=0),"",N106/I106)</x:f>
      </x:c>
      <x:c r="X106" s="38" t="str">
        <x:f>IF(OR(O106="",F106="",F106&lt;=0),"",O106/F106)</x:f>
      </x:c>
      <x:c r="Y106" s="40" t="str">
        <x:f>IF(OR(A106="",B106=""),"",B106-A106)</x:f>
      </x:c>
      <x:c r="Z106" s="8" t="str">
        <x:f>IF(COUNTA(A106:R106)=0,"",IF(OR(A106="",B106="",C106="",G106="",H106=""),"INCOMPLETO",IF(B106&lt;A106,"DATA INVÁLIDA",IF(AND(G106="7d",OR(Y106&lt;7,Y106&gt;10)),"FORA DA JANELA",IF(AND(G106="30d",OR(Y106&lt;30,Y106&gt;35)),"FORA DA JANELA",IF(COUNTIFS($C$2:$C$201,C106,$G$2:$G$201,G106)&gt;1,"DUPLICADO","OK"))))))</x:f>
      </x:c>
      <x:c r="AA106" s="44" t="n">
        <x:f>IF(ISNUMBER(H106),1,0)</x:f>
        <x:v>0</x:v>
      </x:c>
      <x:c r="AB106" s="44" t="n">
        <x:f>IF(ISNUMBER(I106),1,0)</x:f>
        <x:v>0</x:v>
      </x:c>
      <x:c r="AC106" s="44" t="n">
        <x:f>IF(ISNUMBER(T106),1,0)</x:f>
        <x:v>0</x:v>
      </x:c>
      <x:c r="AD106" s="44" t="n">
        <x:f>IF(ISNUMBER(U106),1,0)</x:f>
        <x:v>0</x:v>
      </x:c>
      <x:c r="AE106" s="44" t="n">
        <x:f>IF(ISNUMBER(V106),1,0)</x:f>
        <x:v>0</x:v>
      </x:c>
      <x:c r="AF106" s="44" t="n">
        <x:f>IF(ISNUMBER(W106),1,0)</x:f>
        <x:v>0</x:v>
      </x:c>
      <x:c r="AG106" s="44" t="n">
        <x:f>IF(ISNUMBER(X106),1,0)</x:f>
        <x:v>0</x:v>
      </x:c>
      <x:c r="AH106" s="44" t="n">
        <x:f>IF(ISNUMBER(P106),1,0)</x:f>
        <x:v>0</x:v>
      </x:c>
      <x:c r="AI106" s="44" t="n">
        <x:f>IF(ISNUMBER(O106),1,0)</x:f>
        <x:v>0</x:v>
      </x:c>
    </x:row>
    <x:row r="107" ht="22" customHeight="1">
      <x:c r="A107" s="26"/>
      <x:c r="B107" s="26"/>
      <x:c r="C107" s="14"/>
      <x:c r="D107" s="14"/>
      <x:c r="E107" s="14"/>
      <x:c r="F107" s="28"/>
      <x:c r="G107" s="14"/>
      <x:c r="H107" s="30"/>
      <x:c r="I107" s="30"/>
      <x:c r="J107" s="30"/>
      <x:c r="K107" s="30"/>
      <x:c r="L107" s="30"/>
      <x:c r="M107" s="30"/>
      <x:c r="N107" s="30"/>
      <x:c r="O107" s="32"/>
      <x:c r="P107" s="34"/>
      <x:c r="Q107" s="14"/>
      <x:c r="R107" s="14"/>
      <x:c r="S107" s="36" t="str">
        <x:f>IF(COUNT(J107:M107)&lt;4,"",SUM(J107:M107))</x:f>
      </x:c>
      <x:c r="T107" s="38" t="str">
        <x:f>IF(OR(S107="",I107="",I107&lt;=0),"",S107/I107)</x:f>
      </x:c>
      <x:c r="U107" s="38" t="str">
        <x:f>IF(OR(L107="",I107="",I107&lt;=0),"",L107/I107)</x:f>
      </x:c>
      <x:c r="V107" s="38" t="str">
        <x:f>IF(OR(M107="",I107="",I107&lt;=0),"",M107/I107)</x:f>
      </x:c>
      <x:c r="W107" s="38" t="str">
        <x:f>IF(OR(N107="",I107="",I107&lt;=0),"",N107/I107)</x:f>
      </x:c>
      <x:c r="X107" s="38" t="str">
        <x:f>IF(OR(O107="",F107="",F107&lt;=0),"",O107/F107)</x:f>
      </x:c>
      <x:c r="Y107" s="40" t="str">
        <x:f>IF(OR(A107="",B107=""),"",B107-A107)</x:f>
      </x:c>
      <x:c r="Z107" s="8" t="str">
        <x:f>IF(COUNTA(A107:R107)=0,"",IF(OR(A107="",B107="",C107="",G107="",H107=""),"INCOMPLETO",IF(B107&lt;A107,"DATA INVÁLIDA",IF(AND(G107="7d",OR(Y107&lt;7,Y107&gt;10)),"FORA DA JANELA",IF(AND(G107="30d",OR(Y107&lt;30,Y107&gt;35)),"FORA DA JANELA",IF(COUNTIFS($C$2:$C$201,C107,$G$2:$G$201,G107)&gt;1,"DUPLICADO","OK"))))))</x:f>
      </x:c>
      <x:c r="AA107" s="44" t="n">
        <x:f>IF(ISNUMBER(H107),1,0)</x:f>
        <x:v>0</x:v>
      </x:c>
      <x:c r="AB107" s="44" t="n">
        <x:f>IF(ISNUMBER(I107),1,0)</x:f>
        <x:v>0</x:v>
      </x:c>
      <x:c r="AC107" s="44" t="n">
        <x:f>IF(ISNUMBER(T107),1,0)</x:f>
        <x:v>0</x:v>
      </x:c>
      <x:c r="AD107" s="44" t="n">
        <x:f>IF(ISNUMBER(U107),1,0)</x:f>
        <x:v>0</x:v>
      </x:c>
      <x:c r="AE107" s="44" t="n">
        <x:f>IF(ISNUMBER(V107),1,0)</x:f>
        <x:v>0</x:v>
      </x:c>
      <x:c r="AF107" s="44" t="n">
        <x:f>IF(ISNUMBER(W107),1,0)</x:f>
        <x:v>0</x:v>
      </x:c>
      <x:c r="AG107" s="44" t="n">
        <x:f>IF(ISNUMBER(X107),1,0)</x:f>
        <x:v>0</x:v>
      </x:c>
      <x:c r="AH107" s="44" t="n">
        <x:f>IF(ISNUMBER(P107),1,0)</x:f>
        <x:v>0</x:v>
      </x:c>
      <x:c r="AI107" s="44" t="n">
        <x:f>IF(ISNUMBER(O107),1,0)</x:f>
        <x:v>0</x:v>
      </x:c>
    </x:row>
    <x:row r="108" ht="22" customHeight="1">
      <x:c r="A108" s="26"/>
      <x:c r="B108" s="26"/>
      <x:c r="C108" s="14"/>
      <x:c r="D108" s="14"/>
      <x:c r="E108" s="14"/>
      <x:c r="F108" s="28"/>
      <x:c r="G108" s="14"/>
      <x:c r="H108" s="30"/>
      <x:c r="I108" s="30"/>
      <x:c r="J108" s="30"/>
      <x:c r="K108" s="30"/>
      <x:c r="L108" s="30"/>
      <x:c r="M108" s="30"/>
      <x:c r="N108" s="30"/>
      <x:c r="O108" s="32"/>
      <x:c r="P108" s="34"/>
      <x:c r="Q108" s="14"/>
      <x:c r="R108" s="14"/>
      <x:c r="S108" s="36" t="str">
        <x:f>IF(COUNT(J108:M108)&lt;4,"",SUM(J108:M108))</x:f>
      </x:c>
      <x:c r="T108" s="38" t="str">
        <x:f>IF(OR(S108="",I108="",I108&lt;=0),"",S108/I108)</x:f>
      </x:c>
      <x:c r="U108" s="38" t="str">
        <x:f>IF(OR(L108="",I108="",I108&lt;=0),"",L108/I108)</x:f>
      </x:c>
      <x:c r="V108" s="38" t="str">
        <x:f>IF(OR(M108="",I108="",I108&lt;=0),"",M108/I108)</x:f>
      </x:c>
      <x:c r="W108" s="38" t="str">
        <x:f>IF(OR(N108="",I108="",I108&lt;=0),"",N108/I108)</x:f>
      </x:c>
      <x:c r="X108" s="38" t="str">
        <x:f>IF(OR(O108="",F108="",F108&lt;=0),"",O108/F108)</x:f>
      </x:c>
      <x:c r="Y108" s="40" t="str">
        <x:f>IF(OR(A108="",B108=""),"",B108-A108)</x:f>
      </x:c>
      <x:c r="Z108" s="8" t="str">
        <x:f>IF(COUNTA(A108:R108)=0,"",IF(OR(A108="",B108="",C108="",G108="",H108=""),"INCOMPLETO",IF(B108&lt;A108,"DATA INVÁLIDA",IF(AND(G108="7d",OR(Y108&lt;7,Y108&gt;10)),"FORA DA JANELA",IF(AND(G108="30d",OR(Y108&lt;30,Y108&gt;35)),"FORA DA JANELA",IF(COUNTIFS($C$2:$C$201,C108,$G$2:$G$201,G108)&gt;1,"DUPLICADO","OK"))))))</x:f>
      </x:c>
      <x:c r="AA108" s="44" t="n">
        <x:f>IF(ISNUMBER(H108),1,0)</x:f>
        <x:v>0</x:v>
      </x:c>
      <x:c r="AB108" s="44" t="n">
        <x:f>IF(ISNUMBER(I108),1,0)</x:f>
        <x:v>0</x:v>
      </x:c>
      <x:c r="AC108" s="44" t="n">
        <x:f>IF(ISNUMBER(T108),1,0)</x:f>
        <x:v>0</x:v>
      </x:c>
      <x:c r="AD108" s="44" t="n">
        <x:f>IF(ISNUMBER(U108),1,0)</x:f>
        <x:v>0</x:v>
      </x:c>
      <x:c r="AE108" s="44" t="n">
        <x:f>IF(ISNUMBER(V108),1,0)</x:f>
        <x:v>0</x:v>
      </x:c>
      <x:c r="AF108" s="44" t="n">
        <x:f>IF(ISNUMBER(W108),1,0)</x:f>
        <x:v>0</x:v>
      </x:c>
      <x:c r="AG108" s="44" t="n">
        <x:f>IF(ISNUMBER(X108),1,0)</x:f>
        <x:v>0</x:v>
      </x:c>
      <x:c r="AH108" s="44" t="n">
        <x:f>IF(ISNUMBER(P108),1,0)</x:f>
        <x:v>0</x:v>
      </x:c>
      <x:c r="AI108" s="44" t="n">
        <x:f>IF(ISNUMBER(O108),1,0)</x:f>
        <x:v>0</x:v>
      </x:c>
    </x:row>
    <x:row r="109" ht="22" customHeight="1">
      <x:c r="A109" s="26"/>
      <x:c r="B109" s="26"/>
      <x:c r="C109" s="14"/>
      <x:c r="D109" s="14"/>
      <x:c r="E109" s="14"/>
      <x:c r="F109" s="28"/>
      <x:c r="G109" s="14"/>
      <x:c r="H109" s="30"/>
      <x:c r="I109" s="30"/>
      <x:c r="J109" s="30"/>
      <x:c r="K109" s="30"/>
      <x:c r="L109" s="30"/>
      <x:c r="M109" s="30"/>
      <x:c r="N109" s="30"/>
      <x:c r="O109" s="32"/>
      <x:c r="P109" s="34"/>
      <x:c r="Q109" s="14"/>
      <x:c r="R109" s="14"/>
      <x:c r="S109" s="36" t="str">
        <x:f>IF(COUNT(J109:M109)&lt;4,"",SUM(J109:M109))</x:f>
      </x:c>
      <x:c r="T109" s="38" t="str">
        <x:f>IF(OR(S109="",I109="",I109&lt;=0),"",S109/I109)</x:f>
      </x:c>
      <x:c r="U109" s="38" t="str">
        <x:f>IF(OR(L109="",I109="",I109&lt;=0),"",L109/I109)</x:f>
      </x:c>
      <x:c r="V109" s="38" t="str">
        <x:f>IF(OR(M109="",I109="",I109&lt;=0),"",M109/I109)</x:f>
      </x:c>
      <x:c r="W109" s="38" t="str">
        <x:f>IF(OR(N109="",I109="",I109&lt;=0),"",N109/I109)</x:f>
      </x:c>
      <x:c r="X109" s="38" t="str">
        <x:f>IF(OR(O109="",F109="",F109&lt;=0),"",O109/F109)</x:f>
      </x:c>
      <x:c r="Y109" s="40" t="str">
        <x:f>IF(OR(A109="",B109=""),"",B109-A109)</x:f>
      </x:c>
      <x:c r="Z109" s="8" t="str">
        <x:f>IF(COUNTA(A109:R109)=0,"",IF(OR(A109="",B109="",C109="",G109="",H109=""),"INCOMPLETO",IF(B109&lt;A109,"DATA INVÁLIDA",IF(AND(G109="7d",OR(Y109&lt;7,Y109&gt;10)),"FORA DA JANELA",IF(AND(G109="30d",OR(Y109&lt;30,Y109&gt;35)),"FORA DA JANELA",IF(COUNTIFS($C$2:$C$201,C109,$G$2:$G$201,G109)&gt;1,"DUPLICADO","OK"))))))</x:f>
      </x:c>
      <x:c r="AA109" s="44" t="n">
        <x:f>IF(ISNUMBER(H109),1,0)</x:f>
        <x:v>0</x:v>
      </x:c>
      <x:c r="AB109" s="44" t="n">
        <x:f>IF(ISNUMBER(I109),1,0)</x:f>
        <x:v>0</x:v>
      </x:c>
      <x:c r="AC109" s="44" t="n">
        <x:f>IF(ISNUMBER(T109),1,0)</x:f>
        <x:v>0</x:v>
      </x:c>
      <x:c r="AD109" s="44" t="n">
        <x:f>IF(ISNUMBER(U109),1,0)</x:f>
        <x:v>0</x:v>
      </x:c>
      <x:c r="AE109" s="44" t="n">
        <x:f>IF(ISNUMBER(V109),1,0)</x:f>
        <x:v>0</x:v>
      </x:c>
      <x:c r="AF109" s="44" t="n">
        <x:f>IF(ISNUMBER(W109),1,0)</x:f>
        <x:v>0</x:v>
      </x:c>
      <x:c r="AG109" s="44" t="n">
        <x:f>IF(ISNUMBER(X109),1,0)</x:f>
        <x:v>0</x:v>
      </x:c>
      <x:c r="AH109" s="44" t="n">
        <x:f>IF(ISNUMBER(P109),1,0)</x:f>
        <x:v>0</x:v>
      </x:c>
      <x:c r="AI109" s="44" t="n">
        <x:f>IF(ISNUMBER(O109),1,0)</x:f>
        <x:v>0</x:v>
      </x:c>
    </x:row>
    <x:row r="110" ht="22" customHeight="1">
      <x:c r="A110" s="26"/>
      <x:c r="B110" s="26"/>
      <x:c r="C110" s="14"/>
      <x:c r="D110" s="14"/>
      <x:c r="E110" s="14"/>
      <x:c r="F110" s="28"/>
      <x:c r="G110" s="14"/>
      <x:c r="H110" s="30"/>
      <x:c r="I110" s="30"/>
      <x:c r="J110" s="30"/>
      <x:c r="K110" s="30"/>
      <x:c r="L110" s="30"/>
      <x:c r="M110" s="30"/>
      <x:c r="N110" s="30"/>
      <x:c r="O110" s="32"/>
      <x:c r="P110" s="34"/>
      <x:c r="Q110" s="14"/>
      <x:c r="R110" s="14"/>
      <x:c r="S110" s="36" t="str">
        <x:f>IF(COUNT(J110:M110)&lt;4,"",SUM(J110:M110))</x:f>
      </x:c>
      <x:c r="T110" s="38" t="str">
        <x:f>IF(OR(S110="",I110="",I110&lt;=0),"",S110/I110)</x:f>
      </x:c>
      <x:c r="U110" s="38" t="str">
        <x:f>IF(OR(L110="",I110="",I110&lt;=0),"",L110/I110)</x:f>
      </x:c>
      <x:c r="V110" s="38" t="str">
        <x:f>IF(OR(M110="",I110="",I110&lt;=0),"",M110/I110)</x:f>
      </x:c>
      <x:c r="W110" s="38" t="str">
        <x:f>IF(OR(N110="",I110="",I110&lt;=0),"",N110/I110)</x:f>
      </x:c>
      <x:c r="X110" s="38" t="str">
        <x:f>IF(OR(O110="",F110="",F110&lt;=0),"",O110/F110)</x:f>
      </x:c>
      <x:c r="Y110" s="40" t="str">
        <x:f>IF(OR(A110="",B110=""),"",B110-A110)</x:f>
      </x:c>
      <x:c r="Z110" s="8" t="str">
        <x:f>IF(COUNTA(A110:R110)=0,"",IF(OR(A110="",B110="",C110="",G110="",H110=""),"INCOMPLETO",IF(B110&lt;A110,"DATA INVÁLIDA",IF(AND(G110="7d",OR(Y110&lt;7,Y110&gt;10)),"FORA DA JANELA",IF(AND(G110="30d",OR(Y110&lt;30,Y110&gt;35)),"FORA DA JANELA",IF(COUNTIFS($C$2:$C$201,C110,$G$2:$G$201,G110)&gt;1,"DUPLICADO","OK"))))))</x:f>
      </x:c>
      <x:c r="AA110" s="44" t="n">
        <x:f>IF(ISNUMBER(H110),1,0)</x:f>
        <x:v>0</x:v>
      </x:c>
      <x:c r="AB110" s="44" t="n">
        <x:f>IF(ISNUMBER(I110),1,0)</x:f>
        <x:v>0</x:v>
      </x:c>
      <x:c r="AC110" s="44" t="n">
        <x:f>IF(ISNUMBER(T110),1,0)</x:f>
        <x:v>0</x:v>
      </x:c>
      <x:c r="AD110" s="44" t="n">
        <x:f>IF(ISNUMBER(U110),1,0)</x:f>
        <x:v>0</x:v>
      </x:c>
      <x:c r="AE110" s="44" t="n">
        <x:f>IF(ISNUMBER(V110),1,0)</x:f>
        <x:v>0</x:v>
      </x:c>
      <x:c r="AF110" s="44" t="n">
        <x:f>IF(ISNUMBER(W110),1,0)</x:f>
        <x:v>0</x:v>
      </x:c>
      <x:c r="AG110" s="44" t="n">
        <x:f>IF(ISNUMBER(X110),1,0)</x:f>
        <x:v>0</x:v>
      </x:c>
      <x:c r="AH110" s="44" t="n">
        <x:f>IF(ISNUMBER(P110),1,0)</x:f>
        <x:v>0</x:v>
      </x:c>
      <x:c r="AI110" s="44" t="n">
        <x:f>IF(ISNUMBER(O110),1,0)</x:f>
        <x:v>0</x:v>
      </x:c>
    </x:row>
    <x:row r="111" ht="22" customHeight="1">
      <x:c r="A111" s="26"/>
      <x:c r="B111" s="26"/>
      <x:c r="C111" s="14"/>
      <x:c r="D111" s="14"/>
      <x:c r="E111" s="14"/>
      <x:c r="F111" s="28"/>
      <x:c r="G111" s="14"/>
      <x:c r="H111" s="30"/>
      <x:c r="I111" s="30"/>
      <x:c r="J111" s="30"/>
      <x:c r="K111" s="30"/>
      <x:c r="L111" s="30"/>
      <x:c r="M111" s="30"/>
      <x:c r="N111" s="30"/>
      <x:c r="O111" s="32"/>
      <x:c r="P111" s="34"/>
      <x:c r="Q111" s="14"/>
      <x:c r="R111" s="14"/>
      <x:c r="S111" s="36" t="str">
        <x:f>IF(COUNT(J111:M111)&lt;4,"",SUM(J111:M111))</x:f>
      </x:c>
      <x:c r="T111" s="38" t="str">
        <x:f>IF(OR(S111="",I111="",I111&lt;=0),"",S111/I111)</x:f>
      </x:c>
      <x:c r="U111" s="38" t="str">
        <x:f>IF(OR(L111="",I111="",I111&lt;=0),"",L111/I111)</x:f>
      </x:c>
      <x:c r="V111" s="38" t="str">
        <x:f>IF(OR(M111="",I111="",I111&lt;=0),"",M111/I111)</x:f>
      </x:c>
      <x:c r="W111" s="38" t="str">
        <x:f>IF(OR(N111="",I111="",I111&lt;=0),"",N111/I111)</x:f>
      </x:c>
      <x:c r="X111" s="38" t="str">
        <x:f>IF(OR(O111="",F111="",F111&lt;=0),"",O111/F111)</x:f>
      </x:c>
      <x:c r="Y111" s="40" t="str">
        <x:f>IF(OR(A111="",B111=""),"",B111-A111)</x:f>
      </x:c>
      <x:c r="Z111" s="8" t="str">
        <x:f>IF(COUNTA(A111:R111)=0,"",IF(OR(A111="",B111="",C111="",G111="",H111=""),"INCOMPLETO",IF(B111&lt;A111,"DATA INVÁLIDA",IF(AND(G111="7d",OR(Y111&lt;7,Y111&gt;10)),"FORA DA JANELA",IF(AND(G111="30d",OR(Y111&lt;30,Y111&gt;35)),"FORA DA JANELA",IF(COUNTIFS($C$2:$C$201,C111,$G$2:$G$201,G111)&gt;1,"DUPLICADO","OK"))))))</x:f>
      </x:c>
      <x:c r="AA111" s="44" t="n">
        <x:f>IF(ISNUMBER(H111),1,0)</x:f>
        <x:v>0</x:v>
      </x:c>
      <x:c r="AB111" s="44" t="n">
        <x:f>IF(ISNUMBER(I111),1,0)</x:f>
        <x:v>0</x:v>
      </x:c>
      <x:c r="AC111" s="44" t="n">
        <x:f>IF(ISNUMBER(T111),1,0)</x:f>
        <x:v>0</x:v>
      </x:c>
      <x:c r="AD111" s="44" t="n">
        <x:f>IF(ISNUMBER(U111),1,0)</x:f>
        <x:v>0</x:v>
      </x:c>
      <x:c r="AE111" s="44" t="n">
        <x:f>IF(ISNUMBER(V111),1,0)</x:f>
        <x:v>0</x:v>
      </x:c>
      <x:c r="AF111" s="44" t="n">
        <x:f>IF(ISNUMBER(W111),1,0)</x:f>
        <x:v>0</x:v>
      </x:c>
      <x:c r="AG111" s="44" t="n">
        <x:f>IF(ISNUMBER(X111),1,0)</x:f>
        <x:v>0</x:v>
      </x:c>
      <x:c r="AH111" s="44" t="n">
        <x:f>IF(ISNUMBER(P111),1,0)</x:f>
        <x:v>0</x:v>
      </x:c>
      <x:c r="AI111" s="44" t="n">
        <x:f>IF(ISNUMBER(O111),1,0)</x:f>
        <x:v>0</x:v>
      </x:c>
    </x:row>
    <x:row r="112" ht="22" customHeight="1">
      <x:c r="A112" s="26"/>
      <x:c r="B112" s="26"/>
      <x:c r="C112" s="14"/>
      <x:c r="D112" s="14"/>
      <x:c r="E112" s="14"/>
      <x:c r="F112" s="28"/>
      <x:c r="G112" s="14"/>
      <x:c r="H112" s="30"/>
      <x:c r="I112" s="30"/>
      <x:c r="J112" s="30"/>
      <x:c r="K112" s="30"/>
      <x:c r="L112" s="30"/>
      <x:c r="M112" s="30"/>
      <x:c r="N112" s="30"/>
      <x:c r="O112" s="32"/>
      <x:c r="P112" s="34"/>
      <x:c r="Q112" s="14"/>
      <x:c r="R112" s="14"/>
      <x:c r="S112" s="36" t="str">
        <x:f>IF(COUNT(J112:M112)&lt;4,"",SUM(J112:M112))</x:f>
      </x:c>
      <x:c r="T112" s="38" t="str">
        <x:f>IF(OR(S112="",I112="",I112&lt;=0),"",S112/I112)</x:f>
      </x:c>
      <x:c r="U112" s="38" t="str">
        <x:f>IF(OR(L112="",I112="",I112&lt;=0),"",L112/I112)</x:f>
      </x:c>
      <x:c r="V112" s="38" t="str">
        <x:f>IF(OR(M112="",I112="",I112&lt;=0),"",M112/I112)</x:f>
      </x:c>
      <x:c r="W112" s="38" t="str">
        <x:f>IF(OR(N112="",I112="",I112&lt;=0),"",N112/I112)</x:f>
      </x:c>
      <x:c r="X112" s="38" t="str">
        <x:f>IF(OR(O112="",F112="",F112&lt;=0),"",O112/F112)</x:f>
      </x:c>
      <x:c r="Y112" s="40" t="str">
        <x:f>IF(OR(A112="",B112=""),"",B112-A112)</x:f>
      </x:c>
      <x:c r="Z112" s="8" t="str">
        <x:f>IF(COUNTA(A112:R112)=0,"",IF(OR(A112="",B112="",C112="",G112="",H112=""),"INCOMPLETO",IF(B112&lt;A112,"DATA INVÁLIDA",IF(AND(G112="7d",OR(Y112&lt;7,Y112&gt;10)),"FORA DA JANELA",IF(AND(G112="30d",OR(Y112&lt;30,Y112&gt;35)),"FORA DA JANELA",IF(COUNTIFS($C$2:$C$201,C112,$G$2:$G$201,G112)&gt;1,"DUPLICADO","OK"))))))</x:f>
      </x:c>
      <x:c r="AA112" s="44" t="n">
        <x:f>IF(ISNUMBER(H112),1,0)</x:f>
        <x:v>0</x:v>
      </x:c>
      <x:c r="AB112" s="44" t="n">
        <x:f>IF(ISNUMBER(I112),1,0)</x:f>
        <x:v>0</x:v>
      </x:c>
      <x:c r="AC112" s="44" t="n">
        <x:f>IF(ISNUMBER(T112),1,0)</x:f>
        <x:v>0</x:v>
      </x:c>
      <x:c r="AD112" s="44" t="n">
        <x:f>IF(ISNUMBER(U112),1,0)</x:f>
        <x:v>0</x:v>
      </x:c>
      <x:c r="AE112" s="44" t="n">
        <x:f>IF(ISNUMBER(V112),1,0)</x:f>
        <x:v>0</x:v>
      </x:c>
      <x:c r="AF112" s="44" t="n">
        <x:f>IF(ISNUMBER(W112),1,0)</x:f>
        <x:v>0</x:v>
      </x:c>
      <x:c r="AG112" s="44" t="n">
        <x:f>IF(ISNUMBER(X112),1,0)</x:f>
        <x:v>0</x:v>
      </x:c>
      <x:c r="AH112" s="44" t="n">
        <x:f>IF(ISNUMBER(P112),1,0)</x:f>
        <x:v>0</x:v>
      </x:c>
      <x:c r="AI112" s="44" t="n">
        <x:f>IF(ISNUMBER(O112),1,0)</x:f>
        <x:v>0</x:v>
      </x:c>
    </x:row>
    <x:row r="113" ht="22" customHeight="1">
      <x:c r="A113" s="26"/>
      <x:c r="B113" s="26"/>
      <x:c r="C113" s="14"/>
      <x:c r="D113" s="14"/>
      <x:c r="E113" s="14"/>
      <x:c r="F113" s="28"/>
      <x:c r="G113" s="14"/>
      <x:c r="H113" s="30"/>
      <x:c r="I113" s="30"/>
      <x:c r="J113" s="30"/>
      <x:c r="K113" s="30"/>
      <x:c r="L113" s="30"/>
      <x:c r="M113" s="30"/>
      <x:c r="N113" s="30"/>
      <x:c r="O113" s="32"/>
      <x:c r="P113" s="34"/>
      <x:c r="Q113" s="14"/>
      <x:c r="R113" s="14"/>
      <x:c r="S113" s="36" t="str">
        <x:f>IF(COUNT(J113:M113)&lt;4,"",SUM(J113:M113))</x:f>
      </x:c>
      <x:c r="T113" s="38" t="str">
        <x:f>IF(OR(S113="",I113="",I113&lt;=0),"",S113/I113)</x:f>
      </x:c>
      <x:c r="U113" s="38" t="str">
        <x:f>IF(OR(L113="",I113="",I113&lt;=0),"",L113/I113)</x:f>
      </x:c>
      <x:c r="V113" s="38" t="str">
        <x:f>IF(OR(M113="",I113="",I113&lt;=0),"",M113/I113)</x:f>
      </x:c>
      <x:c r="W113" s="38" t="str">
        <x:f>IF(OR(N113="",I113="",I113&lt;=0),"",N113/I113)</x:f>
      </x:c>
      <x:c r="X113" s="38" t="str">
        <x:f>IF(OR(O113="",F113="",F113&lt;=0),"",O113/F113)</x:f>
      </x:c>
      <x:c r="Y113" s="40" t="str">
        <x:f>IF(OR(A113="",B113=""),"",B113-A113)</x:f>
      </x:c>
      <x:c r="Z113" s="8" t="str">
        <x:f>IF(COUNTA(A113:R113)=0,"",IF(OR(A113="",B113="",C113="",G113="",H113=""),"INCOMPLETO",IF(B113&lt;A113,"DATA INVÁLIDA",IF(AND(G113="7d",OR(Y113&lt;7,Y113&gt;10)),"FORA DA JANELA",IF(AND(G113="30d",OR(Y113&lt;30,Y113&gt;35)),"FORA DA JANELA",IF(COUNTIFS($C$2:$C$201,C113,$G$2:$G$201,G113)&gt;1,"DUPLICADO","OK"))))))</x:f>
      </x:c>
      <x:c r="AA113" s="44" t="n">
        <x:f>IF(ISNUMBER(H113),1,0)</x:f>
        <x:v>0</x:v>
      </x:c>
      <x:c r="AB113" s="44" t="n">
        <x:f>IF(ISNUMBER(I113),1,0)</x:f>
        <x:v>0</x:v>
      </x:c>
      <x:c r="AC113" s="44" t="n">
        <x:f>IF(ISNUMBER(T113),1,0)</x:f>
        <x:v>0</x:v>
      </x:c>
      <x:c r="AD113" s="44" t="n">
        <x:f>IF(ISNUMBER(U113),1,0)</x:f>
        <x:v>0</x:v>
      </x:c>
      <x:c r="AE113" s="44" t="n">
        <x:f>IF(ISNUMBER(V113),1,0)</x:f>
        <x:v>0</x:v>
      </x:c>
      <x:c r="AF113" s="44" t="n">
        <x:f>IF(ISNUMBER(W113),1,0)</x:f>
        <x:v>0</x:v>
      </x:c>
      <x:c r="AG113" s="44" t="n">
        <x:f>IF(ISNUMBER(X113),1,0)</x:f>
        <x:v>0</x:v>
      </x:c>
      <x:c r="AH113" s="44" t="n">
        <x:f>IF(ISNUMBER(P113),1,0)</x:f>
        <x:v>0</x:v>
      </x:c>
      <x:c r="AI113" s="44" t="n">
        <x:f>IF(ISNUMBER(O113),1,0)</x:f>
        <x:v>0</x:v>
      </x:c>
    </x:row>
    <x:row r="114" ht="22" customHeight="1">
      <x:c r="A114" s="26"/>
      <x:c r="B114" s="26"/>
      <x:c r="C114" s="14"/>
      <x:c r="D114" s="14"/>
      <x:c r="E114" s="14"/>
      <x:c r="F114" s="28"/>
      <x:c r="G114" s="14"/>
      <x:c r="H114" s="30"/>
      <x:c r="I114" s="30"/>
      <x:c r="J114" s="30"/>
      <x:c r="K114" s="30"/>
      <x:c r="L114" s="30"/>
      <x:c r="M114" s="30"/>
      <x:c r="N114" s="30"/>
      <x:c r="O114" s="32"/>
      <x:c r="P114" s="34"/>
      <x:c r="Q114" s="14"/>
      <x:c r="R114" s="14"/>
      <x:c r="S114" s="36" t="str">
        <x:f>IF(COUNT(J114:M114)&lt;4,"",SUM(J114:M114))</x:f>
      </x:c>
      <x:c r="T114" s="38" t="str">
        <x:f>IF(OR(S114="",I114="",I114&lt;=0),"",S114/I114)</x:f>
      </x:c>
      <x:c r="U114" s="38" t="str">
        <x:f>IF(OR(L114="",I114="",I114&lt;=0),"",L114/I114)</x:f>
      </x:c>
      <x:c r="V114" s="38" t="str">
        <x:f>IF(OR(M114="",I114="",I114&lt;=0),"",M114/I114)</x:f>
      </x:c>
      <x:c r="W114" s="38" t="str">
        <x:f>IF(OR(N114="",I114="",I114&lt;=0),"",N114/I114)</x:f>
      </x:c>
      <x:c r="X114" s="38" t="str">
        <x:f>IF(OR(O114="",F114="",F114&lt;=0),"",O114/F114)</x:f>
      </x:c>
      <x:c r="Y114" s="40" t="str">
        <x:f>IF(OR(A114="",B114=""),"",B114-A114)</x:f>
      </x:c>
      <x:c r="Z114" s="8" t="str">
        <x:f>IF(COUNTA(A114:R114)=0,"",IF(OR(A114="",B114="",C114="",G114="",H114=""),"INCOMPLETO",IF(B114&lt;A114,"DATA INVÁLIDA",IF(AND(G114="7d",OR(Y114&lt;7,Y114&gt;10)),"FORA DA JANELA",IF(AND(G114="30d",OR(Y114&lt;30,Y114&gt;35)),"FORA DA JANELA",IF(COUNTIFS($C$2:$C$201,C114,$G$2:$G$201,G114)&gt;1,"DUPLICADO","OK"))))))</x:f>
      </x:c>
      <x:c r="AA114" s="44" t="n">
        <x:f>IF(ISNUMBER(H114),1,0)</x:f>
        <x:v>0</x:v>
      </x:c>
      <x:c r="AB114" s="44" t="n">
        <x:f>IF(ISNUMBER(I114),1,0)</x:f>
        <x:v>0</x:v>
      </x:c>
      <x:c r="AC114" s="44" t="n">
        <x:f>IF(ISNUMBER(T114),1,0)</x:f>
        <x:v>0</x:v>
      </x:c>
      <x:c r="AD114" s="44" t="n">
        <x:f>IF(ISNUMBER(U114),1,0)</x:f>
        <x:v>0</x:v>
      </x:c>
      <x:c r="AE114" s="44" t="n">
        <x:f>IF(ISNUMBER(V114),1,0)</x:f>
        <x:v>0</x:v>
      </x:c>
      <x:c r="AF114" s="44" t="n">
        <x:f>IF(ISNUMBER(W114),1,0)</x:f>
        <x:v>0</x:v>
      </x:c>
      <x:c r="AG114" s="44" t="n">
        <x:f>IF(ISNUMBER(X114),1,0)</x:f>
        <x:v>0</x:v>
      </x:c>
      <x:c r="AH114" s="44" t="n">
        <x:f>IF(ISNUMBER(P114),1,0)</x:f>
        <x:v>0</x:v>
      </x:c>
      <x:c r="AI114" s="44" t="n">
        <x:f>IF(ISNUMBER(O114),1,0)</x:f>
        <x:v>0</x:v>
      </x:c>
    </x:row>
    <x:row r="115" ht="22" customHeight="1">
      <x:c r="A115" s="26"/>
      <x:c r="B115" s="26"/>
      <x:c r="C115" s="14"/>
      <x:c r="D115" s="14"/>
      <x:c r="E115" s="14"/>
      <x:c r="F115" s="28"/>
      <x:c r="G115" s="14"/>
      <x:c r="H115" s="30"/>
      <x:c r="I115" s="30"/>
      <x:c r="J115" s="30"/>
      <x:c r="K115" s="30"/>
      <x:c r="L115" s="30"/>
      <x:c r="M115" s="30"/>
      <x:c r="N115" s="30"/>
      <x:c r="O115" s="32"/>
      <x:c r="P115" s="34"/>
      <x:c r="Q115" s="14"/>
      <x:c r="R115" s="14"/>
      <x:c r="S115" s="36" t="str">
        <x:f>IF(COUNT(J115:M115)&lt;4,"",SUM(J115:M115))</x:f>
      </x:c>
      <x:c r="T115" s="38" t="str">
        <x:f>IF(OR(S115="",I115="",I115&lt;=0),"",S115/I115)</x:f>
      </x:c>
      <x:c r="U115" s="38" t="str">
        <x:f>IF(OR(L115="",I115="",I115&lt;=0),"",L115/I115)</x:f>
      </x:c>
      <x:c r="V115" s="38" t="str">
        <x:f>IF(OR(M115="",I115="",I115&lt;=0),"",M115/I115)</x:f>
      </x:c>
      <x:c r="W115" s="38" t="str">
        <x:f>IF(OR(N115="",I115="",I115&lt;=0),"",N115/I115)</x:f>
      </x:c>
      <x:c r="X115" s="38" t="str">
        <x:f>IF(OR(O115="",F115="",F115&lt;=0),"",O115/F115)</x:f>
      </x:c>
      <x:c r="Y115" s="40" t="str">
        <x:f>IF(OR(A115="",B115=""),"",B115-A115)</x:f>
      </x:c>
      <x:c r="Z115" s="8" t="str">
        <x:f>IF(COUNTA(A115:R115)=0,"",IF(OR(A115="",B115="",C115="",G115="",H115=""),"INCOMPLETO",IF(B115&lt;A115,"DATA INVÁLIDA",IF(AND(G115="7d",OR(Y115&lt;7,Y115&gt;10)),"FORA DA JANELA",IF(AND(G115="30d",OR(Y115&lt;30,Y115&gt;35)),"FORA DA JANELA",IF(COUNTIFS($C$2:$C$201,C115,$G$2:$G$201,G115)&gt;1,"DUPLICADO","OK"))))))</x:f>
      </x:c>
      <x:c r="AA115" s="44" t="n">
        <x:f>IF(ISNUMBER(H115),1,0)</x:f>
        <x:v>0</x:v>
      </x:c>
      <x:c r="AB115" s="44" t="n">
        <x:f>IF(ISNUMBER(I115),1,0)</x:f>
        <x:v>0</x:v>
      </x:c>
      <x:c r="AC115" s="44" t="n">
        <x:f>IF(ISNUMBER(T115),1,0)</x:f>
        <x:v>0</x:v>
      </x:c>
      <x:c r="AD115" s="44" t="n">
        <x:f>IF(ISNUMBER(U115),1,0)</x:f>
        <x:v>0</x:v>
      </x:c>
      <x:c r="AE115" s="44" t="n">
        <x:f>IF(ISNUMBER(V115),1,0)</x:f>
        <x:v>0</x:v>
      </x:c>
      <x:c r="AF115" s="44" t="n">
        <x:f>IF(ISNUMBER(W115),1,0)</x:f>
        <x:v>0</x:v>
      </x:c>
      <x:c r="AG115" s="44" t="n">
        <x:f>IF(ISNUMBER(X115),1,0)</x:f>
        <x:v>0</x:v>
      </x:c>
      <x:c r="AH115" s="44" t="n">
        <x:f>IF(ISNUMBER(P115),1,0)</x:f>
        <x:v>0</x:v>
      </x:c>
      <x:c r="AI115" s="44" t="n">
        <x:f>IF(ISNUMBER(O115),1,0)</x:f>
        <x:v>0</x:v>
      </x:c>
    </x:row>
    <x:row r="116" ht="22" customHeight="1">
      <x:c r="A116" s="26"/>
      <x:c r="B116" s="26"/>
      <x:c r="C116" s="14"/>
      <x:c r="D116" s="14"/>
      <x:c r="E116" s="14"/>
      <x:c r="F116" s="28"/>
      <x:c r="G116" s="14"/>
      <x:c r="H116" s="30"/>
      <x:c r="I116" s="30"/>
      <x:c r="J116" s="30"/>
      <x:c r="K116" s="30"/>
      <x:c r="L116" s="30"/>
      <x:c r="M116" s="30"/>
      <x:c r="N116" s="30"/>
      <x:c r="O116" s="32"/>
      <x:c r="P116" s="34"/>
      <x:c r="Q116" s="14"/>
      <x:c r="R116" s="14"/>
      <x:c r="S116" s="36" t="str">
        <x:f>IF(COUNT(J116:M116)&lt;4,"",SUM(J116:M116))</x:f>
      </x:c>
      <x:c r="T116" s="38" t="str">
        <x:f>IF(OR(S116="",I116="",I116&lt;=0),"",S116/I116)</x:f>
      </x:c>
      <x:c r="U116" s="38" t="str">
        <x:f>IF(OR(L116="",I116="",I116&lt;=0),"",L116/I116)</x:f>
      </x:c>
      <x:c r="V116" s="38" t="str">
        <x:f>IF(OR(M116="",I116="",I116&lt;=0),"",M116/I116)</x:f>
      </x:c>
      <x:c r="W116" s="38" t="str">
        <x:f>IF(OR(N116="",I116="",I116&lt;=0),"",N116/I116)</x:f>
      </x:c>
      <x:c r="X116" s="38" t="str">
        <x:f>IF(OR(O116="",F116="",F116&lt;=0),"",O116/F116)</x:f>
      </x:c>
      <x:c r="Y116" s="40" t="str">
        <x:f>IF(OR(A116="",B116=""),"",B116-A116)</x:f>
      </x:c>
      <x:c r="Z116" s="8" t="str">
        <x:f>IF(COUNTA(A116:R116)=0,"",IF(OR(A116="",B116="",C116="",G116="",H116=""),"INCOMPLETO",IF(B116&lt;A116,"DATA INVÁLIDA",IF(AND(G116="7d",OR(Y116&lt;7,Y116&gt;10)),"FORA DA JANELA",IF(AND(G116="30d",OR(Y116&lt;30,Y116&gt;35)),"FORA DA JANELA",IF(COUNTIFS($C$2:$C$201,C116,$G$2:$G$201,G116)&gt;1,"DUPLICADO","OK"))))))</x:f>
      </x:c>
      <x:c r="AA116" s="44" t="n">
        <x:f>IF(ISNUMBER(H116),1,0)</x:f>
        <x:v>0</x:v>
      </x:c>
      <x:c r="AB116" s="44" t="n">
        <x:f>IF(ISNUMBER(I116),1,0)</x:f>
        <x:v>0</x:v>
      </x:c>
      <x:c r="AC116" s="44" t="n">
        <x:f>IF(ISNUMBER(T116),1,0)</x:f>
        <x:v>0</x:v>
      </x:c>
      <x:c r="AD116" s="44" t="n">
        <x:f>IF(ISNUMBER(U116),1,0)</x:f>
        <x:v>0</x:v>
      </x:c>
      <x:c r="AE116" s="44" t="n">
        <x:f>IF(ISNUMBER(V116),1,0)</x:f>
        <x:v>0</x:v>
      </x:c>
      <x:c r="AF116" s="44" t="n">
        <x:f>IF(ISNUMBER(W116),1,0)</x:f>
        <x:v>0</x:v>
      </x:c>
      <x:c r="AG116" s="44" t="n">
        <x:f>IF(ISNUMBER(X116),1,0)</x:f>
        <x:v>0</x:v>
      </x:c>
      <x:c r="AH116" s="44" t="n">
        <x:f>IF(ISNUMBER(P116),1,0)</x:f>
        <x:v>0</x:v>
      </x:c>
      <x:c r="AI116" s="44" t="n">
        <x:f>IF(ISNUMBER(O116),1,0)</x:f>
        <x:v>0</x:v>
      </x:c>
    </x:row>
    <x:row r="117" ht="22" customHeight="1">
      <x:c r="A117" s="26"/>
      <x:c r="B117" s="26"/>
      <x:c r="C117" s="14"/>
      <x:c r="D117" s="14"/>
      <x:c r="E117" s="14"/>
      <x:c r="F117" s="28"/>
      <x:c r="G117" s="14"/>
      <x:c r="H117" s="30"/>
      <x:c r="I117" s="30"/>
      <x:c r="J117" s="30"/>
      <x:c r="K117" s="30"/>
      <x:c r="L117" s="30"/>
      <x:c r="M117" s="30"/>
      <x:c r="N117" s="30"/>
      <x:c r="O117" s="32"/>
      <x:c r="P117" s="34"/>
      <x:c r="Q117" s="14"/>
      <x:c r="R117" s="14"/>
      <x:c r="S117" s="36" t="str">
        <x:f>IF(COUNT(J117:M117)&lt;4,"",SUM(J117:M117))</x:f>
      </x:c>
      <x:c r="T117" s="38" t="str">
        <x:f>IF(OR(S117="",I117="",I117&lt;=0),"",S117/I117)</x:f>
      </x:c>
      <x:c r="U117" s="38" t="str">
        <x:f>IF(OR(L117="",I117="",I117&lt;=0),"",L117/I117)</x:f>
      </x:c>
      <x:c r="V117" s="38" t="str">
        <x:f>IF(OR(M117="",I117="",I117&lt;=0),"",M117/I117)</x:f>
      </x:c>
      <x:c r="W117" s="38" t="str">
        <x:f>IF(OR(N117="",I117="",I117&lt;=0),"",N117/I117)</x:f>
      </x:c>
      <x:c r="X117" s="38" t="str">
        <x:f>IF(OR(O117="",F117="",F117&lt;=0),"",O117/F117)</x:f>
      </x:c>
      <x:c r="Y117" s="40" t="str">
        <x:f>IF(OR(A117="",B117=""),"",B117-A117)</x:f>
      </x:c>
      <x:c r="Z117" s="8" t="str">
        <x:f>IF(COUNTA(A117:R117)=0,"",IF(OR(A117="",B117="",C117="",G117="",H117=""),"INCOMPLETO",IF(B117&lt;A117,"DATA INVÁLIDA",IF(AND(G117="7d",OR(Y117&lt;7,Y117&gt;10)),"FORA DA JANELA",IF(AND(G117="30d",OR(Y117&lt;30,Y117&gt;35)),"FORA DA JANELA",IF(COUNTIFS($C$2:$C$201,C117,$G$2:$G$201,G117)&gt;1,"DUPLICADO","OK"))))))</x:f>
      </x:c>
      <x:c r="AA117" s="44" t="n">
        <x:f>IF(ISNUMBER(H117),1,0)</x:f>
        <x:v>0</x:v>
      </x:c>
      <x:c r="AB117" s="44" t="n">
        <x:f>IF(ISNUMBER(I117),1,0)</x:f>
        <x:v>0</x:v>
      </x:c>
      <x:c r="AC117" s="44" t="n">
        <x:f>IF(ISNUMBER(T117),1,0)</x:f>
        <x:v>0</x:v>
      </x:c>
      <x:c r="AD117" s="44" t="n">
        <x:f>IF(ISNUMBER(U117),1,0)</x:f>
        <x:v>0</x:v>
      </x:c>
      <x:c r="AE117" s="44" t="n">
        <x:f>IF(ISNUMBER(V117),1,0)</x:f>
        <x:v>0</x:v>
      </x:c>
      <x:c r="AF117" s="44" t="n">
        <x:f>IF(ISNUMBER(W117),1,0)</x:f>
        <x:v>0</x:v>
      </x:c>
      <x:c r="AG117" s="44" t="n">
        <x:f>IF(ISNUMBER(X117),1,0)</x:f>
        <x:v>0</x:v>
      </x:c>
      <x:c r="AH117" s="44" t="n">
        <x:f>IF(ISNUMBER(P117),1,0)</x:f>
        <x:v>0</x:v>
      </x:c>
      <x:c r="AI117" s="44" t="n">
        <x:f>IF(ISNUMBER(O117),1,0)</x:f>
        <x:v>0</x:v>
      </x:c>
    </x:row>
    <x:row r="118" ht="22" customHeight="1">
      <x:c r="A118" s="26"/>
      <x:c r="B118" s="26"/>
      <x:c r="C118" s="14"/>
      <x:c r="D118" s="14"/>
      <x:c r="E118" s="14"/>
      <x:c r="F118" s="28"/>
      <x:c r="G118" s="14"/>
      <x:c r="H118" s="30"/>
      <x:c r="I118" s="30"/>
      <x:c r="J118" s="30"/>
      <x:c r="K118" s="30"/>
      <x:c r="L118" s="30"/>
      <x:c r="M118" s="30"/>
      <x:c r="N118" s="30"/>
      <x:c r="O118" s="32"/>
      <x:c r="P118" s="34"/>
      <x:c r="Q118" s="14"/>
      <x:c r="R118" s="14"/>
      <x:c r="S118" s="36" t="str">
        <x:f>IF(COUNT(J118:M118)&lt;4,"",SUM(J118:M118))</x:f>
      </x:c>
      <x:c r="T118" s="38" t="str">
        <x:f>IF(OR(S118="",I118="",I118&lt;=0),"",S118/I118)</x:f>
      </x:c>
      <x:c r="U118" s="38" t="str">
        <x:f>IF(OR(L118="",I118="",I118&lt;=0),"",L118/I118)</x:f>
      </x:c>
      <x:c r="V118" s="38" t="str">
        <x:f>IF(OR(M118="",I118="",I118&lt;=0),"",M118/I118)</x:f>
      </x:c>
      <x:c r="W118" s="38" t="str">
        <x:f>IF(OR(N118="",I118="",I118&lt;=0),"",N118/I118)</x:f>
      </x:c>
      <x:c r="X118" s="38" t="str">
        <x:f>IF(OR(O118="",F118="",F118&lt;=0),"",O118/F118)</x:f>
      </x:c>
      <x:c r="Y118" s="40" t="str">
        <x:f>IF(OR(A118="",B118=""),"",B118-A118)</x:f>
      </x:c>
      <x:c r="Z118" s="8" t="str">
        <x:f>IF(COUNTA(A118:R118)=0,"",IF(OR(A118="",B118="",C118="",G118="",H118=""),"INCOMPLETO",IF(B118&lt;A118,"DATA INVÁLIDA",IF(AND(G118="7d",OR(Y118&lt;7,Y118&gt;10)),"FORA DA JANELA",IF(AND(G118="30d",OR(Y118&lt;30,Y118&gt;35)),"FORA DA JANELA",IF(COUNTIFS($C$2:$C$201,C118,$G$2:$G$201,G118)&gt;1,"DUPLICADO","OK"))))))</x:f>
      </x:c>
      <x:c r="AA118" s="44" t="n">
        <x:f>IF(ISNUMBER(H118),1,0)</x:f>
        <x:v>0</x:v>
      </x:c>
      <x:c r="AB118" s="44" t="n">
        <x:f>IF(ISNUMBER(I118),1,0)</x:f>
        <x:v>0</x:v>
      </x:c>
      <x:c r="AC118" s="44" t="n">
        <x:f>IF(ISNUMBER(T118),1,0)</x:f>
        <x:v>0</x:v>
      </x:c>
      <x:c r="AD118" s="44" t="n">
        <x:f>IF(ISNUMBER(U118),1,0)</x:f>
        <x:v>0</x:v>
      </x:c>
      <x:c r="AE118" s="44" t="n">
        <x:f>IF(ISNUMBER(V118),1,0)</x:f>
        <x:v>0</x:v>
      </x:c>
      <x:c r="AF118" s="44" t="n">
        <x:f>IF(ISNUMBER(W118),1,0)</x:f>
        <x:v>0</x:v>
      </x:c>
      <x:c r="AG118" s="44" t="n">
        <x:f>IF(ISNUMBER(X118),1,0)</x:f>
        <x:v>0</x:v>
      </x:c>
      <x:c r="AH118" s="44" t="n">
        <x:f>IF(ISNUMBER(P118),1,0)</x:f>
        <x:v>0</x:v>
      </x:c>
      <x:c r="AI118" s="44" t="n">
        <x:f>IF(ISNUMBER(O118),1,0)</x:f>
        <x:v>0</x:v>
      </x:c>
    </x:row>
    <x:row r="119" ht="22" customHeight="1">
      <x:c r="A119" s="26"/>
      <x:c r="B119" s="26"/>
      <x:c r="C119" s="14"/>
      <x:c r="D119" s="14"/>
      <x:c r="E119" s="14"/>
      <x:c r="F119" s="28"/>
      <x:c r="G119" s="14"/>
      <x:c r="H119" s="30"/>
      <x:c r="I119" s="30"/>
      <x:c r="J119" s="30"/>
      <x:c r="K119" s="30"/>
      <x:c r="L119" s="30"/>
      <x:c r="M119" s="30"/>
      <x:c r="N119" s="30"/>
      <x:c r="O119" s="32"/>
      <x:c r="P119" s="34"/>
      <x:c r="Q119" s="14"/>
      <x:c r="R119" s="14"/>
      <x:c r="S119" s="36" t="str">
        <x:f>IF(COUNT(J119:M119)&lt;4,"",SUM(J119:M119))</x:f>
      </x:c>
      <x:c r="T119" s="38" t="str">
        <x:f>IF(OR(S119="",I119="",I119&lt;=0),"",S119/I119)</x:f>
      </x:c>
      <x:c r="U119" s="38" t="str">
        <x:f>IF(OR(L119="",I119="",I119&lt;=0),"",L119/I119)</x:f>
      </x:c>
      <x:c r="V119" s="38" t="str">
        <x:f>IF(OR(M119="",I119="",I119&lt;=0),"",M119/I119)</x:f>
      </x:c>
      <x:c r="W119" s="38" t="str">
        <x:f>IF(OR(N119="",I119="",I119&lt;=0),"",N119/I119)</x:f>
      </x:c>
      <x:c r="X119" s="38" t="str">
        <x:f>IF(OR(O119="",F119="",F119&lt;=0),"",O119/F119)</x:f>
      </x:c>
      <x:c r="Y119" s="40" t="str">
        <x:f>IF(OR(A119="",B119=""),"",B119-A119)</x:f>
      </x:c>
      <x:c r="Z119" s="8" t="str">
        <x:f>IF(COUNTA(A119:R119)=0,"",IF(OR(A119="",B119="",C119="",G119="",H119=""),"INCOMPLETO",IF(B119&lt;A119,"DATA INVÁLIDA",IF(AND(G119="7d",OR(Y119&lt;7,Y119&gt;10)),"FORA DA JANELA",IF(AND(G119="30d",OR(Y119&lt;30,Y119&gt;35)),"FORA DA JANELA",IF(COUNTIFS($C$2:$C$201,C119,$G$2:$G$201,G119)&gt;1,"DUPLICADO","OK"))))))</x:f>
      </x:c>
      <x:c r="AA119" s="44" t="n">
        <x:f>IF(ISNUMBER(H119),1,0)</x:f>
        <x:v>0</x:v>
      </x:c>
      <x:c r="AB119" s="44" t="n">
        <x:f>IF(ISNUMBER(I119),1,0)</x:f>
        <x:v>0</x:v>
      </x:c>
      <x:c r="AC119" s="44" t="n">
        <x:f>IF(ISNUMBER(T119),1,0)</x:f>
        <x:v>0</x:v>
      </x:c>
      <x:c r="AD119" s="44" t="n">
        <x:f>IF(ISNUMBER(U119),1,0)</x:f>
        <x:v>0</x:v>
      </x:c>
      <x:c r="AE119" s="44" t="n">
        <x:f>IF(ISNUMBER(V119),1,0)</x:f>
        <x:v>0</x:v>
      </x:c>
      <x:c r="AF119" s="44" t="n">
        <x:f>IF(ISNUMBER(W119),1,0)</x:f>
        <x:v>0</x:v>
      </x:c>
      <x:c r="AG119" s="44" t="n">
        <x:f>IF(ISNUMBER(X119),1,0)</x:f>
        <x:v>0</x:v>
      </x:c>
      <x:c r="AH119" s="44" t="n">
        <x:f>IF(ISNUMBER(P119),1,0)</x:f>
        <x:v>0</x:v>
      </x:c>
      <x:c r="AI119" s="44" t="n">
        <x:f>IF(ISNUMBER(O119),1,0)</x:f>
        <x:v>0</x:v>
      </x:c>
    </x:row>
    <x:row r="120" ht="22" customHeight="1">
      <x:c r="A120" s="26"/>
      <x:c r="B120" s="26"/>
      <x:c r="C120" s="14"/>
      <x:c r="D120" s="14"/>
      <x:c r="E120" s="14"/>
      <x:c r="F120" s="28"/>
      <x:c r="G120" s="14"/>
      <x:c r="H120" s="30"/>
      <x:c r="I120" s="30"/>
      <x:c r="J120" s="30"/>
      <x:c r="K120" s="30"/>
      <x:c r="L120" s="30"/>
      <x:c r="M120" s="30"/>
      <x:c r="N120" s="30"/>
      <x:c r="O120" s="32"/>
      <x:c r="P120" s="34"/>
      <x:c r="Q120" s="14"/>
      <x:c r="R120" s="14"/>
      <x:c r="S120" s="36" t="str">
        <x:f>IF(COUNT(J120:M120)&lt;4,"",SUM(J120:M120))</x:f>
      </x:c>
      <x:c r="T120" s="38" t="str">
        <x:f>IF(OR(S120="",I120="",I120&lt;=0),"",S120/I120)</x:f>
      </x:c>
      <x:c r="U120" s="38" t="str">
        <x:f>IF(OR(L120="",I120="",I120&lt;=0),"",L120/I120)</x:f>
      </x:c>
      <x:c r="V120" s="38" t="str">
        <x:f>IF(OR(M120="",I120="",I120&lt;=0),"",M120/I120)</x:f>
      </x:c>
      <x:c r="W120" s="38" t="str">
        <x:f>IF(OR(N120="",I120="",I120&lt;=0),"",N120/I120)</x:f>
      </x:c>
      <x:c r="X120" s="38" t="str">
        <x:f>IF(OR(O120="",F120="",F120&lt;=0),"",O120/F120)</x:f>
      </x:c>
      <x:c r="Y120" s="40" t="str">
        <x:f>IF(OR(A120="",B120=""),"",B120-A120)</x:f>
      </x:c>
      <x:c r="Z120" s="8" t="str">
        <x:f>IF(COUNTA(A120:R120)=0,"",IF(OR(A120="",B120="",C120="",G120="",H120=""),"INCOMPLETO",IF(B120&lt;A120,"DATA INVÁLIDA",IF(AND(G120="7d",OR(Y120&lt;7,Y120&gt;10)),"FORA DA JANELA",IF(AND(G120="30d",OR(Y120&lt;30,Y120&gt;35)),"FORA DA JANELA",IF(COUNTIFS($C$2:$C$201,C120,$G$2:$G$201,G120)&gt;1,"DUPLICADO","OK"))))))</x:f>
      </x:c>
      <x:c r="AA120" s="44" t="n">
        <x:f>IF(ISNUMBER(H120),1,0)</x:f>
        <x:v>0</x:v>
      </x:c>
      <x:c r="AB120" s="44" t="n">
        <x:f>IF(ISNUMBER(I120),1,0)</x:f>
        <x:v>0</x:v>
      </x:c>
      <x:c r="AC120" s="44" t="n">
        <x:f>IF(ISNUMBER(T120),1,0)</x:f>
        <x:v>0</x:v>
      </x:c>
      <x:c r="AD120" s="44" t="n">
        <x:f>IF(ISNUMBER(U120),1,0)</x:f>
        <x:v>0</x:v>
      </x:c>
      <x:c r="AE120" s="44" t="n">
        <x:f>IF(ISNUMBER(V120),1,0)</x:f>
        <x:v>0</x:v>
      </x:c>
      <x:c r="AF120" s="44" t="n">
        <x:f>IF(ISNUMBER(W120),1,0)</x:f>
        <x:v>0</x:v>
      </x:c>
      <x:c r="AG120" s="44" t="n">
        <x:f>IF(ISNUMBER(X120),1,0)</x:f>
        <x:v>0</x:v>
      </x:c>
      <x:c r="AH120" s="44" t="n">
        <x:f>IF(ISNUMBER(P120),1,0)</x:f>
        <x:v>0</x:v>
      </x:c>
      <x:c r="AI120" s="44" t="n">
        <x:f>IF(ISNUMBER(O120),1,0)</x:f>
        <x:v>0</x:v>
      </x:c>
    </x:row>
    <x:row r="121" ht="22" customHeight="1">
      <x:c r="A121" s="26"/>
      <x:c r="B121" s="26"/>
      <x:c r="C121" s="14"/>
      <x:c r="D121" s="14"/>
      <x:c r="E121" s="14"/>
      <x:c r="F121" s="28"/>
      <x:c r="G121" s="14"/>
      <x:c r="H121" s="30"/>
      <x:c r="I121" s="30"/>
      <x:c r="J121" s="30"/>
      <x:c r="K121" s="30"/>
      <x:c r="L121" s="30"/>
      <x:c r="M121" s="30"/>
      <x:c r="N121" s="30"/>
      <x:c r="O121" s="32"/>
      <x:c r="P121" s="34"/>
      <x:c r="Q121" s="14"/>
      <x:c r="R121" s="14"/>
      <x:c r="S121" s="36" t="str">
        <x:f>IF(COUNT(J121:M121)&lt;4,"",SUM(J121:M121))</x:f>
      </x:c>
      <x:c r="T121" s="38" t="str">
        <x:f>IF(OR(S121="",I121="",I121&lt;=0),"",S121/I121)</x:f>
      </x:c>
      <x:c r="U121" s="38" t="str">
        <x:f>IF(OR(L121="",I121="",I121&lt;=0),"",L121/I121)</x:f>
      </x:c>
      <x:c r="V121" s="38" t="str">
        <x:f>IF(OR(M121="",I121="",I121&lt;=0),"",M121/I121)</x:f>
      </x:c>
      <x:c r="W121" s="38" t="str">
        <x:f>IF(OR(N121="",I121="",I121&lt;=0),"",N121/I121)</x:f>
      </x:c>
      <x:c r="X121" s="38" t="str">
        <x:f>IF(OR(O121="",F121="",F121&lt;=0),"",O121/F121)</x:f>
      </x:c>
      <x:c r="Y121" s="40" t="str">
        <x:f>IF(OR(A121="",B121=""),"",B121-A121)</x:f>
      </x:c>
      <x:c r="Z121" s="8" t="str">
        <x:f>IF(COUNTA(A121:R121)=0,"",IF(OR(A121="",B121="",C121="",G121="",H121=""),"INCOMPLETO",IF(B121&lt;A121,"DATA INVÁLIDA",IF(AND(G121="7d",OR(Y121&lt;7,Y121&gt;10)),"FORA DA JANELA",IF(AND(G121="30d",OR(Y121&lt;30,Y121&gt;35)),"FORA DA JANELA",IF(COUNTIFS($C$2:$C$201,C121,$G$2:$G$201,G121)&gt;1,"DUPLICADO","OK"))))))</x:f>
      </x:c>
      <x:c r="AA121" s="44" t="n">
        <x:f>IF(ISNUMBER(H121),1,0)</x:f>
        <x:v>0</x:v>
      </x:c>
      <x:c r="AB121" s="44" t="n">
        <x:f>IF(ISNUMBER(I121),1,0)</x:f>
        <x:v>0</x:v>
      </x:c>
      <x:c r="AC121" s="44" t="n">
        <x:f>IF(ISNUMBER(T121),1,0)</x:f>
        <x:v>0</x:v>
      </x:c>
      <x:c r="AD121" s="44" t="n">
        <x:f>IF(ISNUMBER(U121),1,0)</x:f>
        <x:v>0</x:v>
      </x:c>
      <x:c r="AE121" s="44" t="n">
        <x:f>IF(ISNUMBER(V121),1,0)</x:f>
        <x:v>0</x:v>
      </x:c>
      <x:c r="AF121" s="44" t="n">
        <x:f>IF(ISNUMBER(W121),1,0)</x:f>
        <x:v>0</x:v>
      </x:c>
      <x:c r="AG121" s="44" t="n">
        <x:f>IF(ISNUMBER(X121),1,0)</x:f>
        <x:v>0</x:v>
      </x:c>
      <x:c r="AH121" s="44" t="n">
        <x:f>IF(ISNUMBER(P121),1,0)</x:f>
        <x:v>0</x:v>
      </x:c>
      <x:c r="AI121" s="44" t="n">
        <x:f>IF(ISNUMBER(O121),1,0)</x:f>
        <x:v>0</x:v>
      </x:c>
    </x:row>
    <x:row r="122" ht="22" customHeight="1">
      <x:c r="A122" s="26"/>
      <x:c r="B122" s="26"/>
      <x:c r="C122" s="14"/>
      <x:c r="D122" s="14"/>
      <x:c r="E122" s="14"/>
      <x:c r="F122" s="28"/>
      <x:c r="G122" s="14"/>
      <x:c r="H122" s="30"/>
      <x:c r="I122" s="30"/>
      <x:c r="J122" s="30"/>
      <x:c r="K122" s="30"/>
      <x:c r="L122" s="30"/>
      <x:c r="M122" s="30"/>
      <x:c r="N122" s="30"/>
      <x:c r="O122" s="32"/>
      <x:c r="P122" s="34"/>
      <x:c r="Q122" s="14"/>
      <x:c r="R122" s="14"/>
      <x:c r="S122" s="36" t="str">
        <x:f>IF(COUNT(J122:M122)&lt;4,"",SUM(J122:M122))</x:f>
      </x:c>
      <x:c r="T122" s="38" t="str">
        <x:f>IF(OR(S122="",I122="",I122&lt;=0),"",S122/I122)</x:f>
      </x:c>
      <x:c r="U122" s="38" t="str">
        <x:f>IF(OR(L122="",I122="",I122&lt;=0),"",L122/I122)</x:f>
      </x:c>
      <x:c r="V122" s="38" t="str">
        <x:f>IF(OR(M122="",I122="",I122&lt;=0),"",M122/I122)</x:f>
      </x:c>
      <x:c r="W122" s="38" t="str">
        <x:f>IF(OR(N122="",I122="",I122&lt;=0),"",N122/I122)</x:f>
      </x:c>
      <x:c r="X122" s="38" t="str">
        <x:f>IF(OR(O122="",F122="",F122&lt;=0),"",O122/F122)</x:f>
      </x:c>
      <x:c r="Y122" s="40" t="str">
        <x:f>IF(OR(A122="",B122=""),"",B122-A122)</x:f>
      </x:c>
      <x:c r="Z122" s="8" t="str">
        <x:f>IF(COUNTA(A122:R122)=0,"",IF(OR(A122="",B122="",C122="",G122="",H122=""),"INCOMPLETO",IF(B122&lt;A122,"DATA INVÁLIDA",IF(AND(G122="7d",OR(Y122&lt;7,Y122&gt;10)),"FORA DA JANELA",IF(AND(G122="30d",OR(Y122&lt;30,Y122&gt;35)),"FORA DA JANELA",IF(COUNTIFS($C$2:$C$201,C122,$G$2:$G$201,G122)&gt;1,"DUPLICADO","OK"))))))</x:f>
      </x:c>
      <x:c r="AA122" s="44" t="n">
        <x:f>IF(ISNUMBER(H122),1,0)</x:f>
        <x:v>0</x:v>
      </x:c>
      <x:c r="AB122" s="44" t="n">
        <x:f>IF(ISNUMBER(I122),1,0)</x:f>
        <x:v>0</x:v>
      </x:c>
      <x:c r="AC122" s="44" t="n">
        <x:f>IF(ISNUMBER(T122),1,0)</x:f>
        <x:v>0</x:v>
      </x:c>
      <x:c r="AD122" s="44" t="n">
        <x:f>IF(ISNUMBER(U122),1,0)</x:f>
        <x:v>0</x:v>
      </x:c>
      <x:c r="AE122" s="44" t="n">
        <x:f>IF(ISNUMBER(V122),1,0)</x:f>
        <x:v>0</x:v>
      </x:c>
      <x:c r="AF122" s="44" t="n">
        <x:f>IF(ISNUMBER(W122),1,0)</x:f>
        <x:v>0</x:v>
      </x:c>
      <x:c r="AG122" s="44" t="n">
        <x:f>IF(ISNUMBER(X122),1,0)</x:f>
        <x:v>0</x:v>
      </x:c>
      <x:c r="AH122" s="44" t="n">
        <x:f>IF(ISNUMBER(P122),1,0)</x:f>
        <x:v>0</x:v>
      </x:c>
      <x:c r="AI122" s="44" t="n">
        <x:f>IF(ISNUMBER(O122),1,0)</x:f>
        <x:v>0</x:v>
      </x:c>
    </x:row>
    <x:row r="123" ht="22" customHeight="1">
      <x:c r="A123" s="26"/>
      <x:c r="B123" s="26"/>
      <x:c r="C123" s="14"/>
      <x:c r="D123" s="14"/>
      <x:c r="E123" s="14"/>
      <x:c r="F123" s="28"/>
      <x:c r="G123" s="14"/>
      <x:c r="H123" s="30"/>
      <x:c r="I123" s="30"/>
      <x:c r="J123" s="30"/>
      <x:c r="K123" s="30"/>
      <x:c r="L123" s="30"/>
      <x:c r="M123" s="30"/>
      <x:c r="N123" s="30"/>
      <x:c r="O123" s="32"/>
      <x:c r="P123" s="34"/>
      <x:c r="Q123" s="14"/>
      <x:c r="R123" s="14"/>
      <x:c r="S123" s="36" t="str">
        <x:f>IF(COUNT(J123:M123)&lt;4,"",SUM(J123:M123))</x:f>
      </x:c>
      <x:c r="T123" s="38" t="str">
        <x:f>IF(OR(S123="",I123="",I123&lt;=0),"",S123/I123)</x:f>
      </x:c>
      <x:c r="U123" s="38" t="str">
        <x:f>IF(OR(L123="",I123="",I123&lt;=0),"",L123/I123)</x:f>
      </x:c>
      <x:c r="V123" s="38" t="str">
        <x:f>IF(OR(M123="",I123="",I123&lt;=0),"",M123/I123)</x:f>
      </x:c>
      <x:c r="W123" s="38" t="str">
        <x:f>IF(OR(N123="",I123="",I123&lt;=0),"",N123/I123)</x:f>
      </x:c>
      <x:c r="X123" s="38" t="str">
        <x:f>IF(OR(O123="",F123="",F123&lt;=0),"",O123/F123)</x:f>
      </x:c>
      <x:c r="Y123" s="40" t="str">
        <x:f>IF(OR(A123="",B123=""),"",B123-A123)</x:f>
      </x:c>
      <x:c r="Z123" s="8" t="str">
        <x:f>IF(COUNTA(A123:R123)=0,"",IF(OR(A123="",B123="",C123="",G123="",H123=""),"INCOMPLETO",IF(B123&lt;A123,"DATA INVÁLIDA",IF(AND(G123="7d",OR(Y123&lt;7,Y123&gt;10)),"FORA DA JANELA",IF(AND(G123="30d",OR(Y123&lt;30,Y123&gt;35)),"FORA DA JANELA",IF(COUNTIFS($C$2:$C$201,C123,$G$2:$G$201,G123)&gt;1,"DUPLICADO","OK"))))))</x:f>
      </x:c>
      <x:c r="AA123" s="44" t="n">
        <x:f>IF(ISNUMBER(H123),1,0)</x:f>
        <x:v>0</x:v>
      </x:c>
      <x:c r="AB123" s="44" t="n">
        <x:f>IF(ISNUMBER(I123),1,0)</x:f>
        <x:v>0</x:v>
      </x:c>
      <x:c r="AC123" s="44" t="n">
        <x:f>IF(ISNUMBER(T123),1,0)</x:f>
        <x:v>0</x:v>
      </x:c>
      <x:c r="AD123" s="44" t="n">
        <x:f>IF(ISNUMBER(U123),1,0)</x:f>
        <x:v>0</x:v>
      </x:c>
      <x:c r="AE123" s="44" t="n">
        <x:f>IF(ISNUMBER(V123),1,0)</x:f>
        <x:v>0</x:v>
      </x:c>
      <x:c r="AF123" s="44" t="n">
        <x:f>IF(ISNUMBER(W123),1,0)</x:f>
        <x:v>0</x:v>
      </x:c>
      <x:c r="AG123" s="44" t="n">
        <x:f>IF(ISNUMBER(X123),1,0)</x:f>
        <x:v>0</x:v>
      </x:c>
      <x:c r="AH123" s="44" t="n">
        <x:f>IF(ISNUMBER(P123),1,0)</x:f>
        <x:v>0</x:v>
      </x:c>
      <x:c r="AI123" s="44" t="n">
        <x:f>IF(ISNUMBER(O123),1,0)</x:f>
        <x:v>0</x:v>
      </x:c>
    </x:row>
    <x:row r="124" ht="22" customHeight="1">
      <x:c r="A124" s="26"/>
      <x:c r="B124" s="26"/>
      <x:c r="C124" s="14"/>
      <x:c r="D124" s="14"/>
      <x:c r="E124" s="14"/>
      <x:c r="F124" s="28"/>
      <x:c r="G124" s="14"/>
      <x:c r="H124" s="30"/>
      <x:c r="I124" s="30"/>
      <x:c r="J124" s="30"/>
      <x:c r="K124" s="30"/>
      <x:c r="L124" s="30"/>
      <x:c r="M124" s="30"/>
      <x:c r="N124" s="30"/>
      <x:c r="O124" s="32"/>
      <x:c r="P124" s="34"/>
      <x:c r="Q124" s="14"/>
      <x:c r="R124" s="14"/>
      <x:c r="S124" s="36" t="str">
        <x:f>IF(COUNT(J124:M124)&lt;4,"",SUM(J124:M124))</x:f>
      </x:c>
      <x:c r="T124" s="38" t="str">
        <x:f>IF(OR(S124="",I124="",I124&lt;=0),"",S124/I124)</x:f>
      </x:c>
      <x:c r="U124" s="38" t="str">
        <x:f>IF(OR(L124="",I124="",I124&lt;=0),"",L124/I124)</x:f>
      </x:c>
      <x:c r="V124" s="38" t="str">
        <x:f>IF(OR(M124="",I124="",I124&lt;=0),"",M124/I124)</x:f>
      </x:c>
      <x:c r="W124" s="38" t="str">
        <x:f>IF(OR(N124="",I124="",I124&lt;=0),"",N124/I124)</x:f>
      </x:c>
      <x:c r="X124" s="38" t="str">
        <x:f>IF(OR(O124="",F124="",F124&lt;=0),"",O124/F124)</x:f>
      </x:c>
      <x:c r="Y124" s="40" t="str">
        <x:f>IF(OR(A124="",B124=""),"",B124-A124)</x:f>
      </x:c>
      <x:c r="Z124" s="8" t="str">
        <x:f>IF(COUNTA(A124:R124)=0,"",IF(OR(A124="",B124="",C124="",G124="",H124=""),"INCOMPLETO",IF(B124&lt;A124,"DATA INVÁLIDA",IF(AND(G124="7d",OR(Y124&lt;7,Y124&gt;10)),"FORA DA JANELA",IF(AND(G124="30d",OR(Y124&lt;30,Y124&gt;35)),"FORA DA JANELA",IF(COUNTIFS($C$2:$C$201,C124,$G$2:$G$201,G124)&gt;1,"DUPLICADO","OK"))))))</x:f>
      </x:c>
      <x:c r="AA124" s="44" t="n">
        <x:f>IF(ISNUMBER(H124),1,0)</x:f>
        <x:v>0</x:v>
      </x:c>
      <x:c r="AB124" s="44" t="n">
        <x:f>IF(ISNUMBER(I124),1,0)</x:f>
        <x:v>0</x:v>
      </x:c>
      <x:c r="AC124" s="44" t="n">
        <x:f>IF(ISNUMBER(T124),1,0)</x:f>
        <x:v>0</x:v>
      </x:c>
      <x:c r="AD124" s="44" t="n">
        <x:f>IF(ISNUMBER(U124),1,0)</x:f>
        <x:v>0</x:v>
      </x:c>
      <x:c r="AE124" s="44" t="n">
        <x:f>IF(ISNUMBER(V124),1,0)</x:f>
        <x:v>0</x:v>
      </x:c>
      <x:c r="AF124" s="44" t="n">
        <x:f>IF(ISNUMBER(W124),1,0)</x:f>
        <x:v>0</x:v>
      </x:c>
      <x:c r="AG124" s="44" t="n">
        <x:f>IF(ISNUMBER(X124),1,0)</x:f>
        <x:v>0</x:v>
      </x:c>
      <x:c r="AH124" s="44" t="n">
        <x:f>IF(ISNUMBER(P124),1,0)</x:f>
        <x:v>0</x:v>
      </x:c>
      <x:c r="AI124" s="44" t="n">
        <x:f>IF(ISNUMBER(O124),1,0)</x:f>
        <x:v>0</x:v>
      </x:c>
    </x:row>
    <x:row r="125" ht="22" customHeight="1">
      <x:c r="A125" s="26"/>
      <x:c r="B125" s="26"/>
      <x:c r="C125" s="14"/>
      <x:c r="D125" s="14"/>
      <x:c r="E125" s="14"/>
      <x:c r="F125" s="28"/>
      <x:c r="G125" s="14"/>
      <x:c r="H125" s="30"/>
      <x:c r="I125" s="30"/>
      <x:c r="J125" s="30"/>
      <x:c r="K125" s="30"/>
      <x:c r="L125" s="30"/>
      <x:c r="M125" s="30"/>
      <x:c r="N125" s="30"/>
      <x:c r="O125" s="32"/>
      <x:c r="P125" s="34"/>
      <x:c r="Q125" s="14"/>
      <x:c r="R125" s="14"/>
      <x:c r="S125" s="36" t="str">
        <x:f>IF(COUNT(J125:M125)&lt;4,"",SUM(J125:M125))</x:f>
      </x:c>
      <x:c r="T125" s="38" t="str">
        <x:f>IF(OR(S125="",I125="",I125&lt;=0),"",S125/I125)</x:f>
      </x:c>
      <x:c r="U125" s="38" t="str">
        <x:f>IF(OR(L125="",I125="",I125&lt;=0),"",L125/I125)</x:f>
      </x:c>
      <x:c r="V125" s="38" t="str">
        <x:f>IF(OR(M125="",I125="",I125&lt;=0),"",M125/I125)</x:f>
      </x:c>
      <x:c r="W125" s="38" t="str">
        <x:f>IF(OR(N125="",I125="",I125&lt;=0),"",N125/I125)</x:f>
      </x:c>
      <x:c r="X125" s="38" t="str">
        <x:f>IF(OR(O125="",F125="",F125&lt;=0),"",O125/F125)</x:f>
      </x:c>
      <x:c r="Y125" s="40" t="str">
        <x:f>IF(OR(A125="",B125=""),"",B125-A125)</x:f>
      </x:c>
      <x:c r="Z125" s="8" t="str">
        <x:f>IF(COUNTA(A125:R125)=0,"",IF(OR(A125="",B125="",C125="",G125="",H125=""),"INCOMPLETO",IF(B125&lt;A125,"DATA INVÁLIDA",IF(AND(G125="7d",OR(Y125&lt;7,Y125&gt;10)),"FORA DA JANELA",IF(AND(G125="30d",OR(Y125&lt;30,Y125&gt;35)),"FORA DA JANELA",IF(COUNTIFS($C$2:$C$201,C125,$G$2:$G$201,G125)&gt;1,"DUPLICADO","OK"))))))</x:f>
      </x:c>
      <x:c r="AA125" s="44" t="n">
        <x:f>IF(ISNUMBER(H125),1,0)</x:f>
        <x:v>0</x:v>
      </x:c>
      <x:c r="AB125" s="44" t="n">
        <x:f>IF(ISNUMBER(I125),1,0)</x:f>
        <x:v>0</x:v>
      </x:c>
      <x:c r="AC125" s="44" t="n">
        <x:f>IF(ISNUMBER(T125),1,0)</x:f>
        <x:v>0</x:v>
      </x:c>
      <x:c r="AD125" s="44" t="n">
        <x:f>IF(ISNUMBER(U125),1,0)</x:f>
        <x:v>0</x:v>
      </x:c>
      <x:c r="AE125" s="44" t="n">
        <x:f>IF(ISNUMBER(V125),1,0)</x:f>
        <x:v>0</x:v>
      </x:c>
      <x:c r="AF125" s="44" t="n">
        <x:f>IF(ISNUMBER(W125),1,0)</x:f>
        <x:v>0</x:v>
      </x:c>
      <x:c r="AG125" s="44" t="n">
        <x:f>IF(ISNUMBER(X125),1,0)</x:f>
        <x:v>0</x:v>
      </x:c>
      <x:c r="AH125" s="44" t="n">
        <x:f>IF(ISNUMBER(P125),1,0)</x:f>
        <x:v>0</x:v>
      </x:c>
      <x:c r="AI125" s="44" t="n">
        <x:f>IF(ISNUMBER(O125),1,0)</x:f>
        <x:v>0</x:v>
      </x:c>
    </x:row>
    <x:row r="126" ht="22" customHeight="1">
      <x:c r="A126" s="26"/>
      <x:c r="B126" s="26"/>
      <x:c r="C126" s="14"/>
      <x:c r="D126" s="14"/>
      <x:c r="E126" s="14"/>
      <x:c r="F126" s="28"/>
      <x:c r="G126" s="14"/>
      <x:c r="H126" s="30"/>
      <x:c r="I126" s="30"/>
      <x:c r="J126" s="30"/>
      <x:c r="K126" s="30"/>
      <x:c r="L126" s="30"/>
      <x:c r="M126" s="30"/>
      <x:c r="N126" s="30"/>
      <x:c r="O126" s="32"/>
      <x:c r="P126" s="34"/>
      <x:c r="Q126" s="14"/>
      <x:c r="R126" s="14"/>
      <x:c r="S126" s="36" t="str">
        <x:f>IF(COUNT(J126:M126)&lt;4,"",SUM(J126:M126))</x:f>
      </x:c>
      <x:c r="T126" s="38" t="str">
        <x:f>IF(OR(S126="",I126="",I126&lt;=0),"",S126/I126)</x:f>
      </x:c>
      <x:c r="U126" s="38" t="str">
        <x:f>IF(OR(L126="",I126="",I126&lt;=0),"",L126/I126)</x:f>
      </x:c>
      <x:c r="V126" s="38" t="str">
        <x:f>IF(OR(M126="",I126="",I126&lt;=0),"",M126/I126)</x:f>
      </x:c>
      <x:c r="W126" s="38" t="str">
        <x:f>IF(OR(N126="",I126="",I126&lt;=0),"",N126/I126)</x:f>
      </x:c>
      <x:c r="X126" s="38" t="str">
        <x:f>IF(OR(O126="",F126="",F126&lt;=0),"",O126/F126)</x:f>
      </x:c>
      <x:c r="Y126" s="40" t="str">
        <x:f>IF(OR(A126="",B126=""),"",B126-A126)</x:f>
      </x:c>
      <x:c r="Z126" s="8" t="str">
        <x:f>IF(COUNTA(A126:R126)=0,"",IF(OR(A126="",B126="",C126="",G126="",H126=""),"INCOMPLETO",IF(B126&lt;A126,"DATA INVÁLIDA",IF(AND(G126="7d",OR(Y126&lt;7,Y126&gt;10)),"FORA DA JANELA",IF(AND(G126="30d",OR(Y126&lt;30,Y126&gt;35)),"FORA DA JANELA",IF(COUNTIFS($C$2:$C$201,C126,$G$2:$G$201,G126)&gt;1,"DUPLICADO","OK"))))))</x:f>
      </x:c>
      <x:c r="AA126" s="44" t="n">
        <x:f>IF(ISNUMBER(H126),1,0)</x:f>
        <x:v>0</x:v>
      </x:c>
      <x:c r="AB126" s="44" t="n">
        <x:f>IF(ISNUMBER(I126),1,0)</x:f>
        <x:v>0</x:v>
      </x:c>
      <x:c r="AC126" s="44" t="n">
        <x:f>IF(ISNUMBER(T126),1,0)</x:f>
        <x:v>0</x:v>
      </x:c>
      <x:c r="AD126" s="44" t="n">
        <x:f>IF(ISNUMBER(U126),1,0)</x:f>
        <x:v>0</x:v>
      </x:c>
      <x:c r="AE126" s="44" t="n">
        <x:f>IF(ISNUMBER(V126),1,0)</x:f>
        <x:v>0</x:v>
      </x:c>
      <x:c r="AF126" s="44" t="n">
        <x:f>IF(ISNUMBER(W126),1,0)</x:f>
        <x:v>0</x:v>
      </x:c>
      <x:c r="AG126" s="44" t="n">
        <x:f>IF(ISNUMBER(X126),1,0)</x:f>
        <x:v>0</x:v>
      </x:c>
      <x:c r="AH126" s="44" t="n">
        <x:f>IF(ISNUMBER(P126),1,0)</x:f>
        <x:v>0</x:v>
      </x:c>
      <x:c r="AI126" s="44" t="n">
        <x:f>IF(ISNUMBER(O126),1,0)</x:f>
        <x:v>0</x:v>
      </x:c>
    </x:row>
    <x:row r="127" ht="22" customHeight="1">
      <x:c r="A127" s="26"/>
      <x:c r="B127" s="26"/>
      <x:c r="C127" s="14"/>
      <x:c r="D127" s="14"/>
      <x:c r="E127" s="14"/>
      <x:c r="F127" s="28"/>
      <x:c r="G127" s="14"/>
      <x:c r="H127" s="30"/>
      <x:c r="I127" s="30"/>
      <x:c r="J127" s="30"/>
      <x:c r="K127" s="30"/>
      <x:c r="L127" s="30"/>
      <x:c r="M127" s="30"/>
      <x:c r="N127" s="30"/>
      <x:c r="O127" s="32"/>
      <x:c r="P127" s="34"/>
      <x:c r="Q127" s="14"/>
      <x:c r="R127" s="14"/>
      <x:c r="S127" s="36" t="str">
        <x:f>IF(COUNT(J127:M127)&lt;4,"",SUM(J127:M127))</x:f>
      </x:c>
      <x:c r="T127" s="38" t="str">
        <x:f>IF(OR(S127="",I127="",I127&lt;=0),"",S127/I127)</x:f>
      </x:c>
      <x:c r="U127" s="38" t="str">
        <x:f>IF(OR(L127="",I127="",I127&lt;=0),"",L127/I127)</x:f>
      </x:c>
      <x:c r="V127" s="38" t="str">
        <x:f>IF(OR(M127="",I127="",I127&lt;=0),"",M127/I127)</x:f>
      </x:c>
      <x:c r="W127" s="38" t="str">
        <x:f>IF(OR(N127="",I127="",I127&lt;=0),"",N127/I127)</x:f>
      </x:c>
      <x:c r="X127" s="38" t="str">
        <x:f>IF(OR(O127="",F127="",F127&lt;=0),"",O127/F127)</x:f>
      </x:c>
      <x:c r="Y127" s="40" t="str">
        <x:f>IF(OR(A127="",B127=""),"",B127-A127)</x:f>
      </x:c>
      <x:c r="Z127" s="8" t="str">
        <x:f>IF(COUNTA(A127:R127)=0,"",IF(OR(A127="",B127="",C127="",G127="",H127=""),"INCOMPLETO",IF(B127&lt;A127,"DATA INVÁLIDA",IF(AND(G127="7d",OR(Y127&lt;7,Y127&gt;10)),"FORA DA JANELA",IF(AND(G127="30d",OR(Y127&lt;30,Y127&gt;35)),"FORA DA JANELA",IF(COUNTIFS($C$2:$C$201,C127,$G$2:$G$201,G127)&gt;1,"DUPLICADO","OK"))))))</x:f>
      </x:c>
      <x:c r="AA127" s="44" t="n">
        <x:f>IF(ISNUMBER(H127),1,0)</x:f>
        <x:v>0</x:v>
      </x:c>
      <x:c r="AB127" s="44" t="n">
        <x:f>IF(ISNUMBER(I127),1,0)</x:f>
        <x:v>0</x:v>
      </x:c>
      <x:c r="AC127" s="44" t="n">
        <x:f>IF(ISNUMBER(T127),1,0)</x:f>
        <x:v>0</x:v>
      </x:c>
      <x:c r="AD127" s="44" t="n">
        <x:f>IF(ISNUMBER(U127),1,0)</x:f>
        <x:v>0</x:v>
      </x:c>
      <x:c r="AE127" s="44" t="n">
        <x:f>IF(ISNUMBER(V127),1,0)</x:f>
        <x:v>0</x:v>
      </x:c>
      <x:c r="AF127" s="44" t="n">
        <x:f>IF(ISNUMBER(W127),1,0)</x:f>
        <x:v>0</x:v>
      </x:c>
      <x:c r="AG127" s="44" t="n">
        <x:f>IF(ISNUMBER(X127),1,0)</x:f>
        <x:v>0</x:v>
      </x:c>
      <x:c r="AH127" s="44" t="n">
        <x:f>IF(ISNUMBER(P127),1,0)</x:f>
        <x:v>0</x:v>
      </x:c>
      <x:c r="AI127" s="44" t="n">
        <x:f>IF(ISNUMBER(O127),1,0)</x:f>
        <x:v>0</x:v>
      </x:c>
    </x:row>
    <x:row r="128" ht="22" customHeight="1">
      <x:c r="A128" s="26"/>
      <x:c r="B128" s="26"/>
      <x:c r="C128" s="14"/>
      <x:c r="D128" s="14"/>
      <x:c r="E128" s="14"/>
      <x:c r="F128" s="28"/>
      <x:c r="G128" s="14"/>
      <x:c r="H128" s="30"/>
      <x:c r="I128" s="30"/>
      <x:c r="J128" s="30"/>
      <x:c r="K128" s="30"/>
      <x:c r="L128" s="30"/>
      <x:c r="M128" s="30"/>
      <x:c r="N128" s="30"/>
      <x:c r="O128" s="32"/>
      <x:c r="P128" s="34"/>
      <x:c r="Q128" s="14"/>
      <x:c r="R128" s="14"/>
      <x:c r="S128" s="36" t="str">
        <x:f>IF(COUNT(J128:M128)&lt;4,"",SUM(J128:M128))</x:f>
      </x:c>
      <x:c r="T128" s="38" t="str">
        <x:f>IF(OR(S128="",I128="",I128&lt;=0),"",S128/I128)</x:f>
      </x:c>
      <x:c r="U128" s="38" t="str">
        <x:f>IF(OR(L128="",I128="",I128&lt;=0),"",L128/I128)</x:f>
      </x:c>
      <x:c r="V128" s="38" t="str">
        <x:f>IF(OR(M128="",I128="",I128&lt;=0),"",M128/I128)</x:f>
      </x:c>
      <x:c r="W128" s="38" t="str">
        <x:f>IF(OR(N128="",I128="",I128&lt;=0),"",N128/I128)</x:f>
      </x:c>
      <x:c r="X128" s="38" t="str">
        <x:f>IF(OR(O128="",F128="",F128&lt;=0),"",O128/F128)</x:f>
      </x:c>
      <x:c r="Y128" s="40" t="str">
        <x:f>IF(OR(A128="",B128=""),"",B128-A128)</x:f>
      </x:c>
      <x:c r="Z128" s="8" t="str">
        <x:f>IF(COUNTA(A128:R128)=0,"",IF(OR(A128="",B128="",C128="",G128="",H128=""),"INCOMPLETO",IF(B128&lt;A128,"DATA INVÁLIDA",IF(AND(G128="7d",OR(Y128&lt;7,Y128&gt;10)),"FORA DA JANELA",IF(AND(G128="30d",OR(Y128&lt;30,Y128&gt;35)),"FORA DA JANELA",IF(COUNTIFS($C$2:$C$201,C128,$G$2:$G$201,G128)&gt;1,"DUPLICADO","OK"))))))</x:f>
      </x:c>
      <x:c r="AA128" s="44" t="n">
        <x:f>IF(ISNUMBER(H128),1,0)</x:f>
        <x:v>0</x:v>
      </x:c>
      <x:c r="AB128" s="44" t="n">
        <x:f>IF(ISNUMBER(I128),1,0)</x:f>
        <x:v>0</x:v>
      </x:c>
      <x:c r="AC128" s="44" t="n">
        <x:f>IF(ISNUMBER(T128),1,0)</x:f>
        <x:v>0</x:v>
      </x:c>
      <x:c r="AD128" s="44" t="n">
        <x:f>IF(ISNUMBER(U128),1,0)</x:f>
        <x:v>0</x:v>
      </x:c>
      <x:c r="AE128" s="44" t="n">
        <x:f>IF(ISNUMBER(V128),1,0)</x:f>
        <x:v>0</x:v>
      </x:c>
      <x:c r="AF128" s="44" t="n">
        <x:f>IF(ISNUMBER(W128),1,0)</x:f>
        <x:v>0</x:v>
      </x:c>
      <x:c r="AG128" s="44" t="n">
        <x:f>IF(ISNUMBER(X128),1,0)</x:f>
        <x:v>0</x:v>
      </x:c>
      <x:c r="AH128" s="44" t="n">
        <x:f>IF(ISNUMBER(P128),1,0)</x:f>
        <x:v>0</x:v>
      </x:c>
      <x:c r="AI128" s="44" t="n">
        <x:f>IF(ISNUMBER(O128),1,0)</x:f>
        <x:v>0</x:v>
      </x:c>
    </x:row>
    <x:row r="129" ht="22" customHeight="1">
      <x:c r="A129" s="26"/>
      <x:c r="B129" s="26"/>
      <x:c r="C129" s="14"/>
      <x:c r="D129" s="14"/>
      <x:c r="E129" s="14"/>
      <x:c r="F129" s="28"/>
      <x:c r="G129" s="14"/>
      <x:c r="H129" s="30"/>
      <x:c r="I129" s="30"/>
      <x:c r="J129" s="30"/>
      <x:c r="K129" s="30"/>
      <x:c r="L129" s="30"/>
      <x:c r="M129" s="30"/>
      <x:c r="N129" s="30"/>
      <x:c r="O129" s="32"/>
      <x:c r="P129" s="34"/>
      <x:c r="Q129" s="14"/>
      <x:c r="R129" s="14"/>
      <x:c r="S129" s="36" t="str">
        <x:f>IF(COUNT(J129:M129)&lt;4,"",SUM(J129:M129))</x:f>
      </x:c>
      <x:c r="T129" s="38" t="str">
        <x:f>IF(OR(S129="",I129="",I129&lt;=0),"",S129/I129)</x:f>
      </x:c>
      <x:c r="U129" s="38" t="str">
        <x:f>IF(OR(L129="",I129="",I129&lt;=0),"",L129/I129)</x:f>
      </x:c>
      <x:c r="V129" s="38" t="str">
        <x:f>IF(OR(M129="",I129="",I129&lt;=0),"",M129/I129)</x:f>
      </x:c>
      <x:c r="W129" s="38" t="str">
        <x:f>IF(OR(N129="",I129="",I129&lt;=0),"",N129/I129)</x:f>
      </x:c>
      <x:c r="X129" s="38" t="str">
        <x:f>IF(OR(O129="",F129="",F129&lt;=0),"",O129/F129)</x:f>
      </x:c>
      <x:c r="Y129" s="40" t="str">
        <x:f>IF(OR(A129="",B129=""),"",B129-A129)</x:f>
      </x:c>
      <x:c r="Z129" s="8" t="str">
        <x:f>IF(COUNTA(A129:R129)=0,"",IF(OR(A129="",B129="",C129="",G129="",H129=""),"INCOMPLETO",IF(B129&lt;A129,"DATA INVÁLIDA",IF(AND(G129="7d",OR(Y129&lt;7,Y129&gt;10)),"FORA DA JANELA",IF(AND(G129="30d",OR(Y129&lt;30,Y129&gt;35)),"FORA DA JANELA",IF(COUNTIFS($C$2:$C$201,C129,$G$2:$G$201,G129)&gt;1,"DUPLICADO","OK"))))))</x:f>
      </x:c>
      <x:c r="AA129" s="44" t="n">
        <x:f>IF(ISNUMBER(H129),1,0)</x:f>
        <x:v>0</x:v>
      </x:c>
      <x:c r="AB129" s="44" t="n">
        <x:f>IF(ISNUMBER(I129),1,0)</x:f>
        <x:v>0</x:v>
      </x:c>
      <x:c r="AC129" s="44" t="n">
        <x:f>IF(ISNUMBER(T129),1,0)</x:f>
        <x:v>0</x:v>
      </x:c>
      <x:c r="AD129" s="44" t="n">
        <x:f>IF(ISNUMBER(U129),1,0)</x:f>
        <x:v>0</x:v>
      </x:c>
      <x:c r="AE129" s="44" t="n">
        <x:f>IF(ISNUMBER(V129),1,0)</x:f>
        <x:v>0</x:v>
      </x:c>
      <x:c r="AF129" s="44" t="n">
        <x:f>IF(ISNUMBER(W129),1,0)</x:f>
        <x:v>0</x:v>
      </x:c>
      <x:c r="AG129" s="44" t="n">
        <x:f>IF(ISNUMBER(X129),1,0)</x:f>
        <x:v>0</x:v>
      </x:c>
      <x:c r="AH129" s="44" t="n">
        <x:f>IF(ISNUMBER(P129),1,0)</x:f>
        <x:v>0</x:v>
      </x:c>
      <x:c r="AI129" s="44" t="n">
        <x:f>IF(ISNUMBER(O129),1,0)</x:f>
        <x:v>0</x:v>
      </x:c>
    </x:row>
    <x:row r="130" ht="22" customHeight="1">
      <x:c r="A130" s="26"/>
      <x:c r="B130" s="26"/>
      <x:c r="C130" s="14"/>
      <x:c r="D130" s="14"/>
      <x:c r="E130" s="14"/>
      <x:c r="F130" s="28"/>
      <x:c r="G130" s="14"/>
      <x:c r="H130" s="30"/>
      <x:c r="I130" s="30"/>
      <x:c r="J130" s="30"/>
      <x:c r="K130" s="30"/>
      <x:c r="L130" s="30"/>
      <x:c r="M130" s="30"/>
      <x:c r="N130" s="30"/>
      <x:c r="O130" s="32"/>
      <x:c r="P130" s="34"/>
      <x:c r="Q130" s="14"/>
      <x:c r="R130" s="14"/>
      <x:c r="S130" s="36" t="str">
        <x:f>IF(COUNT(J130:M130)&lt;4,"",SUM(J130:M130))</x:f>
      </x:c>
      <x:c r="T130" s="38" t="str">
        <x:f>IF(OR(S130="",I130="",I130&lt;=0),"",S130/I130)</x:f>
      </x:c>
      <x:c r="U130" s="38" t="str">
        <x:f>IF(OR(L130="",I130="",I130&lt;=0),"",L130/I130)</x:f>
      </x:c>
      <x:c r="V130" s="38" t="str">
        <x:f>IF(OR(M130="",I130="",I130&lt;=0),"",M130/I130)</x:f>
      </x:c>
      <x:c r="W130" s="38" t="str">
        <x:f>IF(OR(N130="",I130="",I130&lt;=0),"",N130/I130)</x:f>
      </x:c>
      <x:c r="X130" s="38" t="str">
        <x:f>IF(OR(O130="",F130="",F130&lt;=0),"",O130/F130)</x:f>
      </x:c>
      <x:c r="Y130" s="40" t="str">
        <x:f>IF(OR(A130="",B130=""),"",B130-A130)</x:f>
      </x:c>
      <x:c r="Z130" s="8" t="str">
        <x:f>IF(COUNTA(A130:R130)=0,"",IF(OR(A130="",B130="",C130="",G130="",H130=""),"INCOMPLETO",IF(B130&lt;A130,"DATA INVÁLIDA",IF(AND(G130="7d",OR(Y130&lt;7,Y130&gt;10)),"FORA DA JANELA",IF(AND(G130="30d",OR(Y130&lt;30,Y130&gt;35)),"FORA DA JANELA",IF(COUNTIFS($C$2:$C$201,C130,$G$2:$G$201,G130)&gt;1,"DUPLICADO","OK"))))))</x:f>
      </x:c>
      <x:c r="AA130" s="44" t="n">
        <x:f>IF(ISNUMBER(H130),1,0)</x:f>
        <x:v>0</x:v>
      </x:c>
      <x:c r="AB130" s="44" t="n">
        <x:f>IF(ISNUMBER(I130),1,0)</x:f>
        <x:v>0</x:v>
      </x:c>
      <x:c r="AC130" s="44" t="n">
        <x:f>IF(ISNUMBER(T130),1,0)</x:f>
        <x:v>0</x:v>
      </x:c>
      <x:c r="AD130" s="44" t="n">
        <x:f>IF(ISNUMBER(U130),1,0)</x:f>
        <x:v>0</x:v>
      </x:c>
      <x:c r="AE130" s="44" t="n">
        <x:f>IF(ISNUMBER(V130),1,0)</x:f>
        <x:v>0</x:v>
      </x:c>
      <x:c r="AF130" s="44" t="n">
        <x:f>IF(ISNUMBER(W130),1,0)</x:f>
        <x:v>0</x:v>
      </x:c>
      <x:c r="AG130" s="44" t="n">
        <x:f>IF(ISNUMBER(X130),1,0)</x:f>
        <x:v>0</x:v>
      </x:c>
      <x:c r="AH130" s="44" t="n">
        <x:f>IF(ISNUMBER(P130),1,0)</x:f>
        <x:v>0</x:v>
      </x:c>
      <x:c r="AI130" s="44" t="n">
        <x:f>IF(ISNUMBER(O130),1,0)</x:f>
        <x:v>0</x:v>
      </x:c>
    </x:row>
    <x:row r="131" ht="22" customHeight="1">
      <x:c r="A131" s="26"/>
      <x:c r="B131" s="26"/>
      <x:c r="C131" s="14"/>
      <x:c r="D131" s="14"/>
      <x:c r="E131" s="14"/>
      <x:c r="F131" s="28"/>
      <x:c r="G131" s="14"/>
      <x:c r="H131" s="30"/>
      <x:c r="I131" s="30"/>
      <x:c r="J131" s="30"/>
      <x:c r="K131" s="30"/>
      <x:c r="L131" s="30"/>
      <x:c r="M131" s="30"/>
      <x:c r="N131" s="30"/>
      <x:c r="O131" s="32"/>
      <x:c r="P131" s="34"/>
      <x:c r="Q131" s="14"/>
      <x:c r="R131" s="14"/>
      <x:c r="S131" s="36" t="str">
        <x:f>IF(COUNT(J131:M131)&lt;4,"",SUM(J131:M131))</x:f>
      </x:c>
      <x:c r="T131" s="38" t="str">
        <x:f>IF(OR(S131="",I131="",I131&lt;=0),"",S131/I131)</x:f>
      </x:c>
      <x:c r="U131" s="38" t="str">
        <x:f>IF(OR(L131="",I131="",I131&lt;=0),"",L131/I131)</x:f>
      </x:c>
      <x:c r="V131" s="38" t="str">
        <x:f>IF(OR(M131="",I131="",I131&lt;=0),"",M131/I131)</x:f>
      </x:c>
      <x:c r="W131" s="38" t="str">
        <x:f>IF(OR(N131="",I131="",I131&lt;=0),"",N131/I131)</x:f>
      </x:c>
      <x:c r="X131" s="38" t="str">
        <x:f>IF(OR(O131="",F131="",F131&lt;=0),"",O131/F131)</x:f>
      </x:c>
      <x:c r="Y131" s="40" t="str">
        <x:f>IF(OR(A131="",B131=""),"",B131-A131)</x:f>
      </x:c>
      <x:c r="Z131" s="8" t="str">
        <x:f>IF(COUNTA(A131:R131)=0,"",IF(OR(A131="",B131="",C131="",G131="",H131=""),"INCOMPLETO",IF(B131&lt;A131,"DATA INVÁLIDA",IF(AND(G131="7d",OR(Y131&lt;7,Y131&gt;10)),"FORA DA JANELA",IF(AND(G131="30d",OR(Y131&lt;30,Y131&gt;35)),"FORA DA JANELA",IF(COUNTIFS($C$2:$C$201,C131,$G$2:$G$201,G131)&gt;1,"DUPLICADO","OK"))))))</x:f>
      </x:c>
      <x:c r="AA131" s="44" t="n">
        <x:f>IF(ISNUMBER(H131),1,0)</x:f>
        <x:v>0</x:v>
      </x:c>
      <x:c r="AB131" s="44" t="n">
        <x:f>IF(ISNUMBER(I131),1,0)</x:f>
        <x:v>0</x:v>
      </x:c>
      <x:c r="AC131" s="44" t="n">
        <x:f>IF(ISNUMBER(T131),1,0)</x:f>
        <x:v>0</x:v>
      </x:c>
      <x:c r="AD131" s="44" t="n">
        <x:f>IF(ISNUMBER(U131),1,0)</x:f>
        <x:v>0</x:v>
      </x:c>
      <x:c r="AE131" s="44" t="n">
        <x:f>IF(ISNUMBER(V131),1,0)</x:f>
        <x:v>0</x:v>
      </x:c>
      <x:c r="AF131" s="44" t="n">
        <x:f>IF(ISNUMBER(W131),1,0)</x:f>
        <x:v>0</x:v>
      </x:c>
      <x:c r="AG131" s="44" t="n">
        <x:f>IF(ISNUMBER(X131),1,0)</x:f>
        <x:v>0</x:v>
      </x:c>
      <x:c r="AH131" s="44" t="n">
        <x:f>IF(ISNUMBER(P131),1,0)</x:f>
        <x:v>0</x:v>
      </x:c>
      <x:c r="AI131" s="44" t="n">
        <x:f>IF(ISNUMBER(O131),1,0)</x:f>
        <x:v>0</x:v>
      </x:c>
    </x:row>
    <x:row r="132" ht="22" customHeight="1">
      <x:c r="A132" s="26"/>
      <x:c r="B132" s="26"/>
      <x:c r="C132" s="14"/>
      <x:c r="D132" s="14"/>
      <x:c r="E132" s="14"/>
      <x:c r="F132" s="28"/>
      <x:c r="G132" s="14"/>
      <x:c r="H132" s="30"/>
      <x:c r="I132" s="30"/>
      <x:c r="J132" s="30"/>
      <x:c r="K132" s="30"/>
      <x:c r="L132" s="30"/>
      <x:c r="M132" s="30"/>
      <x:c r="N132" s="30"/>
      <x:c r="O132" s="32"/>
      <x:c r="P132" s="34"/>
      <x:c r="Q132" s="14"/>
      <x:c r="R132" s="14"/>
      <x:c r="S132" s="36" t="str">
        <x:f>IF(COUNT(J132:M132)&lt;4,"",SUM(J132:M132))</x:f>
      </x:c>
      <x:c r="T132" s="38" t="str">
        <x:f>IF(OR(S132="",I132="",I132&lt;=0),"",S132/I132)</x:f>
      </x:c>
      <x:c r="U132" s="38" t="str">
        <x:f>IF(OR(L132="",I132="",I132&lt;=0),"",L132/I132)</x:f>
      </x:c>
      <x:c r="V132" s="38" t="str">
        <x:f>IF(OR(M132="",I132="",I132&lt;=0),"",M132/I132)</x:f>
      </x:c>
      <x:c r="W132" s="38" t="str">
        <x:f>IF(OR(N132="",I132="",I132&lt;=0),"",N132/I132)</x:f>
      </x:c>
      <x:c r="X132" s="38" t="str">
        <x:f>IF(OR(O132="",F132="",F132&lt;=0),"",O132/F132)</x:f>
      </x:c>
      <x:c r="Y132" s="40" t="str">
        <x:f>IF(OR(A132="",B132=""),"",B132-A132)</x:f>
      </x:c>
      <x:c r="Z132" s="8" t="str">
        <x:f>IF(COUNTA(A132:R132)=0,"",IF(OR(A132="",B132="",C132="",G132="",H132=""),"INCOMPLETO",IF(B132&lt;A132,"DATA INVÁLIDA",IF(AND(G132="7d",OR(Y132&lt;7,Y132&gt;10)),"FORA DA JANELA",IF(AND(G132="30d",OR(Y132&lt;30,Y132&gt;35)),"FORA DA JANELA",IF(COUNTIFS($C$2:$C$201,C132,$G$2:$G$201,G132)&gt;1,"DUPLICADO","OK"))))))</x:f>
      </x:c>
      <x:c r="AA132" s="44" t="n">
        <x:f>IF(ISNUMBER(H132),1,0)</x:f>
        <x:v>0</x:v>
      </x:c>
      <x:c r="AB132" s="44" t="n">
        <x:f>IF(ISNUMBER(I132),1,0)</x:f>
        <x:v>0</x:v>
      </x:c>
      <x:c r="AC132" s="44" t="n">
        <x:f>IF(ISNUMBER(T132),1,0)</x:f>
        <x:v>0</x:v>
      </x:c>
      <x:c r="AD132" s="44" t="n">
        <x:f>IF(ISNUMBER(U132),1,0)</x:f>
        <x:v>0</x:v>
      </x:c>
      <x:c r="AE132" s="44" t="n">
        <x:f>IF(ISNUMBER(V132),1,0)</x:f>
        <x:v>0</x:v>
      </x:c>
      <x:c r="AF132" s="44" t="n">
        <x:f>IF(ISNUMBER(W132),1,0)</x:f>
        <x:v>0</x:v>
      </x:c>
      <x:c r="AG132" s="44" t="n">
        <x:f>IF(ISNUMBER(X132),1,0)</x:f>
        <x:v>0</x:v>
      </x:c>
      <x:c r="AH132" s="44" t="n">
        <x:f>IF(ISNUMBER(P132),1,0)</x:f>
        <x:v>0</x:v>
      </x:c>
      <x:c r="AI132" s="44" t="n">
        <x:f>IF(ISNUMBER(O132),1,0)</x:f>
        <x:v>0</x:v>
      </x:c>
    </x:row>
    <x:row r="133" ht="22" customHeight="1">
      <x:c r="A133" s="26"/>
      <x:c r="B133" s="26"/>
      <x:c r="C133" s="14"/>
      <x:c r="D133" s="14"/>
      <x:c r="E133" s="14"/>
      <x:c r="F133" s="28"/>
      <x:c r="G133" s="14"/>
      <x:c r="H133" s="30"/>
      <x:c r="I133" s="30"/>
      <x:c r="J133" s="30"/>
      <x:c r="K133" s="30"/>
      <x:c r="L133" s="30"/>
      <x:c r="M133" s="30"/>
      <x:c r="N133" s="30"/>
      <x:c r="O133" s="32"/>
      <x:c r="P133" s="34"/>
      <x:c r="Q133" s="14"/>
      <x:c r="R133" s="14"/>
      <x:c r="S133" s="36" t="str">
        <x:f>IF(COUNT(J133:M133)&lt;4,"",SUM(J133:M133))</x:f>
      </x:c>
      <x:c r="T133" s="38" t="str">
        <x:f>IF(OR(S133="",I133="",I133&lt;=0),"",S133/I133)</x:f>
      </x:c>
      <x:c r="U133" s="38" t="str">
        <x:f>IF(OR(L133="",I133="",I133&lt;=0),"",L133/I133)</x:f>
      </x:c>
      <x:c r="V133" s="38" t="str">
        <x:f>IF(OR(M133="",I133="",I133&lt;=0),"",M133/I133)</x:f>
      </x:c>
      <x:c r="W133" s="38" t="str">
        <x:f>IF(OR(N133="",I133="",I133&lt;=0),"",N133/I133)</x:f>
      </x:c>
      <x:c r="X133" s="38" t="str">
        <x:f>IF(OR(O133="",F133="",F133&lt;=0),"",O133/F133)</x:f>
      </x:c>
      <x:c r="Y133" s="40" t="str">
        <x:f>IF(OR(A133="",B133=""),"",B133-A133)</x:f>
      </x:c>
      <x:c r="Z133" s="8" t="str">
        <x:f>IF(COUNTA(A133:R133)=0,"",IF(OR(A133="",B133="",C133="",G133="",H133=""),"INCOMPLETO",IF(B133&lt;A133,"DATA INVÁLIDA",IF(AND(G133="7d",OR(Y133&lt;7,Y133&gt;10)),"FORA DA JANELA",IF(AND(G133="30d",OR(Y133&lt;30,Y133&gt;35)),"FORA DA JANELA",IF(COUNTIFS($C$2:$C$201,C133,$G$2:$G$201,G133)&gt;1,"DUPLICADO","OK"))))))</x:f>
      </x:c>
      <x:c r="AA133" s="44" t="n">
        <x:f>IF(ISNUMBER(H133),1,0)</x:f>
        <x:v>0</x:v>
      </x:c>
      <x:c r="AB133" s="44" t="n">
        <x:f>IF(ISNUMBER(I133),1,0)</x:f>
        <x:v>0</x:v>
      </x:c>
      <x:c r="AC133" s="44" t="n">
        <x:f>IF(ISNUMBER(T133),1,0)</x:f>
        <x:v>0</x:v>
      </x:c>
      <x:c r="AD133" s="44" t="n">
        <x:f>IF(ISNUMBER(U133),1,0)</x:f>
        <x:v>0</x:v>
      </x:c>
      <x:c r="AE133" s="44" t="n">
        <x:f>IF(ISNUMBER(V133),1,0)</x:f>
        <x:v>0</x:v>
      </x:c>
      <x:c r="AF133" s="44" t="n">
        <x:f>IF(ISNUMBER(W133),1,0)</x:f>
        <x:v>0</x:v>
      </x:c>
      <x:c r="AG133" s="44" t="n">
        <x:f>IF(ISNUMBER(X133),1,0)</x:f>
        <x:v>0</x:v>
      </x:c>
      <x:c r="AH133" s="44" t="n">
        <x:f>IF(ISNUMBER(P133),1,0)</x:f>
        <x:v>0</x:v>
      </x:c>
      <x:c r="AI133" s="44" t="n">
        <x:f>IF(ISNUMBER(O133),1,0)</x:f>
        <x:v>0</x:v>
      </x:c>
    </x:row>
    <x:row r="134" ht="22" customHeight="1">
      <x:c r="A134" s="26"/>
      <x:c r="B134" s="26"/>
      <x:c r="C134" s="14"/>
      <x:c r="D134" s="14"/>
      <x:c r="E134" s="14"/>
      <x:c r="F134" s="28"/>
      <x:c r="G134" s="14"/>
      <x:c r="H134" s="30"/>
      <x:c r="I134" s="30"/>
      <x:c r="J134" s="30"/>
      <x:c r="K134" s="30"/>
      <x:c r="L134" s="30"/>
      <x:c r="M134" s="30"/>
      <x:c r="N134" s="30"/>
      <x:c r="O134" s="32"/>
      <x:c r="P134" s="34"/>
      <x:c r="Q134" s="14"/>
      <x:c r="R134" s="14"/>
      <x:c r="S134" s="36" t="str">
        <x:f>IF(COUNT(J134:M134)&lt;4,"",SUM(J134:M134))</x:f>
      </x:c>
      <x:c r="T134" s="38" t="str">
        <x:f>IF(OR(S134="",I134="",I134&lt;=0),"",S134/I134)</x:f>
      </x:c>
      <x:c r="U134" s="38" t="str">
        <x:f>IF(OR(L134="",I134="",I134&lt;=0),"",L134/I134)</x:f>
      </x:c>
      <x:c r="V134" s="38" t="str">
        <x:f>IF(OR(M134="",I134="",I134&lt;=0),"",M134/I134)</x:f>
      </x:c>
      <x:c r="W134" s="38" t="str">
        <x:f>IF(OR(N134="",I134="",I134&lt;=0),"",N134/I134)</x:f>
      </x:c>
      <x:c r="X134" s="38" t="str">
        <x:f>IF(OR(O134="",F134="",F134&lt;=0),"",O134/F134)</x:f>
      </x:c>
      <x:c r="Y134" s="40" t="str">
        <x:f>IF(OR(A134="",B134=""),"",B134-A134)</x:f>
      </x:c>
      <x:c r="Z134" s="8" t="str">
        <x:f>IF(COUNTA(A134:R134)=0,"",IF(OR(A134="",B134="",C134="",G134="",H134=""),"INCOMPLETO",IF(B134&lt;A134,"DATA INVÁLIDA",IF(AND(G134="7d",OR(Y134&lt;7,Y134&gt;10)),"FORA DA JANELA",IF(AND(G134="30d",OR(Y134&lt;30,Y134&gt;35)),"FORA DA JANELA",IF(COUNTIFS($C$2:$C$201,C134,$G$2:$G$201,G134)&gt;1,"DUPLICADO","OK"))))))</x:f>
      </x:c>
      <x:c r="AA134" s="44" t="n">
        <x:f>IF(ISNUMBER(H134),1,0)</x:f>
        <x:v>0</x:v>
      </x:c>
      <x:c r="AB134" s="44" t="n">
        <x:f>IF(ISNUMBER(I134),1,0)</x:f>
        <x:v>0</x:v>
      </x:c>
      <x:c r="AC134" s="44" t="n">
        <x:f>IF(ISNUMBER(T134),1,0)</x:f>
        <x:v>0</x:v>
      </x:c>
      <x:c r="AD134" s="44" t="n">
        <x:f>IF(ISNUMBER(U134),1,0)</x:f>
        <x:v>0</x:v>
      </x:c>
      <x:c r="AE134" s="44" t="n">
        <x:f>IF(ISNUMBER(V134),1,0)</x:f>
        <x:v>0</x:v>
      </x:c>
      <x:c r="AF134" s="44" t="n">
        <x:f>IF(ISNUMBER(W134),1,0)</x:f>
        <x:v>0</x:v>
      </x:c>
      <x:c r="AG134" s="44" t="n">
        <x:f>IF(ISNUMBER(X134),1,0)</x:f>
        <x:v>0</x:v>
      </x:c>
      <x:c r="AH134" s="44" t="n">
        <x:f>IF(ISNUMBER(P134),1,0)</x:f>
        <x:v>0</x:v>
      </x:c>
      <x:c r="AI134" s="44" t="n">
        <x:f>IF(ISNUMBER(O134),1,0)</x:f>
        <x:v>0</x:v>
      </x:c>
    </x:row>
    <x:row r="135" ht="22" customHeight="1">
      <x:c r="A135" s="26"/>
      <x:c r="B135" s="26"/>
      <x:c r="C135" s="14"/>
      <x:c r="D135" s="14"/>
      <x:c r="E135" s="14"/>
      <x:c r="F135" s="28"/>
      <x:c r="G135" s="14"/>
      <x:c r="H135" s="30"/>
      <x:c r="I135" s="30"/>
      <x:c r="J135" s="30"/>
      <x:c r="K135" s="30"/>
      <x:c r="L135" s="30"/>
      <x:c r="M135" s="30"/>
      <x:c r="N135" s="30"/>
      <x:c r="O135" s="32"/>
      <x:c r="P135" s="34"/>
      <x:c r="Q135" s="14"/>
      <x:c r="R135" s="14"/>
      <x:c r="S135" s="36" t="str">
        <x:f>IF(COUNT(J135:M135)&lt;4,"",SUM(J135:M135))</x:f>
      </x:c>
      <x:c r="T135" s="38" t="str">
        <x:f>IF(OR(S135="",I135="",I135&lt;=0),"",S135/I135)</x:f>
      </x:c>
      <x:c r="U135" s="38" t="str">
        <x:f>IF(OR(L135="",I135="",I135&lt;=0),"",L135/I135)</x:f>
      </x:c>
      <x:c r="V135" s="38" t="str">
        <x:f>IF(OR(M135="",I135="",I135&lt;=0),"",M135/I135)</x:f>
      </x:c>
      <x:c r="W135" s="38" t="str">
        <x:f>IF(OR(N135="",I135="",I135&lt;=0),"",N135/I135)</x:f>
      </x:c>
      <x:c r="X135" s="38" t="str">
        <x:f>IF(OR(O135="",F135="",F135&lt;=0),"",O135/F135)</x:f>
      </x:c>
      <x:c r="Y135" s="40" t="str">
        <x:f>IF(OR(A135="",B135=""),"",B135-A135)</x:f>
      </x:c>
      <x:c r="Z135" s="8" t="str">
        <x:f>IF(COUNTA(A135:R135)=0,"",IF(OR(A135="",B135="",C135="",G135="",H135=""),"INCOMPLETO",IF(B135&lt;A135,"DATA INVÁLIDA",IF(AND(G135="7d",OR(Y135&lt;7,Y135&gt;10)),"FORA DA JANELA",IF(AND(G135="30d",OR(Y135&lt;30,Y135&gt;35)),"FORA DA JANELA",IF(COUNTIFS($C$2:$C$201,C135,$G$2:$G$201,G135)&gt;1,"DUPLICADO","OK"))))))</x:f>
      </x:c>
      <x:c r="AA135" s="44" t="n">
        <x:f>IF(ISNUMBER(H135),1,0)</x:f>
        <x:v>0</x:v>
      </x:c>
      <x:c r="AB135" s="44" t="n">
        <x:f>IF(ISNUMBER(I135),1,0)</x:f>
        <x:v>0</x:v>
      </x:c>
      <x:c r="AC135" s="44" t="n">
        <x:f>IF(ISNUMBER(T135),1,0)</x:f>
        <x:v>0</x:v>
      </x:c>
      <x:c r="AD135" s="44" t="n">
        <x:f>IF(ISNUMBER(U135),1,0)</x:f>
        <x:v>0</x:v>
      </x:c>
      <x:c r="AE135" s="44" t="n">
        <x:f>IF(ISNUMBER(V135),1,0)</x:f>
        <x:v>0</x:v>
      </x:c>
      <x:c r="AF135" s="44" t="n">
        <x:f>IF(ISNUMBER(W135),1,0)</x:f>
        <x:v>0</x:v>
      </x:c>
      <x:c r="AG135" s="44" t="n">
        <x:f>IF(ISNUMBER(X135),1,0)</x:f>
        <x:v>0</x:v>
      </x:c>
      <x:c r="AH135" s="44" t="n">
        <x:f>IF(ISNUMBER(P135),1,0)</x:f>
        <x:v>0</x:v>
      </x:c>
      <x:c r="AI135" s="44" t="n">
        <x:f>IF(ISNUMBER(O135),1,0)</x:f>
        <x:v>0</x:v>
      </x:c>
    </x:row>
    <x:row r="136" ht="22" customHeight="1">
      <x:c r="A136" s="26"/>
      <x:c r="B136" s="26"/>
      <x:c r="C136" s="14"/>
      <x:c r="D136" s="14"/>
      <x:c r="E136" s="14"/>
      <x:c r="F136" s="28"/>
      <x:c r="G136" s="14"/>
      <x:c r="H136" s="30"/>
      <x:c r="I136" s="30"/>
      <x:c r="J136" s="30"/>
      <x:c r="K136" s="30"/>
      <x:c r="L136" s="30"/>
      <x:c r="M136" s="30"/>
      <x:c r="N136" s="30"/>
      <x:c r="O136" s="32"/>
      <x:c r="P136" s="34"/>
      <x:c r="Q136" s="14"/>
      <x:c r="R136" s="14"/>
      <x:c r="S136" s="36" t="str">
        <x:f>IF(COUNT(J136:M136)&lt;4,"",SUM(J136:M136))</x:f>
      </x:c>
      <x:c r="T136" s="38" t="str">
        <x:f>IF(OR(S136="",I136="",I136&lt;=0),"",S136/I136)</x:f>
      </x:c>
      <x:c r="U136" s="38" t="str">
        <x:f>IF(OR(L136="",I136="",I136&lt;=0),"",L136/I136)</x:f>
      </x:c>
      <x:c r="V136" s="38" t="str">
        <x:f>IF(OR(M136="",I136="",I136&lt;=0),"",M136/I136)</x:f>
      </x:c>
      <x:c r="W136" s="38" t="str">
        <x:f>IF(OR(N136="",I136="",I136&lt;=0),"",N136/I136)</x:f>
      </x:c>
      <x:c r="X136" s="38" t="str">
        <x:f>IF(OR(O136="",F136="",F136&lt;=0),"",O136/F136)</x:f>
      </x:c>
      <x:c r="Y136" s="40" t="str">
        <x:f>IF(OR(A136="",B136=""),"",B136-A136)</x:f>
      </x:c>
      <x:c r="Z136" s="8" t="str">
        <x:f>IF(COUNTA(A136:R136)=0,"",IF(OR(A136="",B136="",C136="",G136="",H136=""),"INCOMPLETO",IF(B136&lt;A136,"DATA INVÁLIDA",IF(AND(G136="7d",OR(Y136&lt;7,Y136&gt;10)),"FORA DA JANELA",IF(AND(G136="30d",OR(Y136&lt;30,Y136&gt;35)),"FORA DA JANELA",IF(COUNTIFS($C$2:$C$201,C136,$G$2:$G$201,G136)&gt;1,"DUPLICADO","OK"))))))</x:f>
      </x:c>
      <x:c r="AA136" s="44" t="n">
        <x:f>IF(ISNUMBER(H136),1,0)</x:f>
        <x:v>0</x:v>
      </x:c>
      <x:c r="AB136" s="44" t="n">
        <x:f>IF(ISNUMBER(I136),1,0)</x:f>
        <x:v>0</x:v>
      </x:c>
      <x:c r="AC136" s="44" t="n">
        <x:f>IF(ISNUMBER(T136),1,0)</x:f>
        <x:v>0</x:v>
      </x:c>
      <x:c r="AD136" s="44" t="n">
        <x:f>IF(ISNUMBER(U136),1,0)</x:f>
        <x:v>0</x:v>
      </x:c>
      <x:c r="AE136" s="44" t="n">
        <x:f>IF(ISNUMBER(V136),1,0)</x:f>
        <x:v>0</x:v>
      </x:c>
      <x:c r="AF136" s="44" t="n">
        <x:f>IF(ISNUMBER(W136),1,0)</x:f>
        <x:v>0</x:v>
      </x:c>
      <x:c r="AG136" s="44" t="n">
        <x:f>IF(ISNUMBER(X136),1,0)</x:f>
        <x:v>0</x:v>
      </x:c>
      <x:c r="AH136" s="44" t="n">
        <x:f>IF(ISNUMBER(P136),1,0)</x:f>
        <x:v>0</x:v>
      </x:c>
      <x:c r="AI136" s="44" t="n">
        <x:f>IF(ISNUMBER(O136),1,0)</x:f>
        <x:v>0</x:v>
      </x:c>
    </x:row>
    <x:row r="137" ht="22" customHeight="1">
      <x:c r="A137" s="26"/>
      <x:c r="B137" s="26"/>
      <x:c r="C137" s="14"/>
      <x:c r="D137" s="14"/>
      <x:c r="E137" s="14"/>
      <x:c r="F137" s="28"/>
      <x:c r="G137" s="14"/>
      <x:c r="H137" s="30"/>
      <x:c r="I137" s="30"/>
      <x:c r="J137" s="30"/>
      <x:c r="K137" s="30"/>
      <x:c r="L137" s="30"/>
      <x:c r="M137" s="30"/>
      <x:c r="N137" s="30"/>
      <x:c r="O137" s="32"/>
      <x:c r="P137" s="34"/>
      <x:c r="Q137" s="14"/>
      <x:c r="R137" s="14"/>
      <x:c r="S137" s="36" t="str">
        <x:f>IF(COUNT(J137:M137)&lt;4,"",SUM(J137:M137))</x:f>
      </x:c>
      <x:c r="T137" s="38" t="str">
        <x:f>IF(OR(S137="",I137="",I137&lt;=0),"",S137/I137)</x:f>
      </x:c>
      <x:c r="U137" s="38" t="str">
        <x:f>IF(OR(L137="",I137="",I137&lt;=0),"",L137/I137)</x:f>
      </x:c>
      <x:c r="V137" s="38" t="str">
        <x:f>IF(OR(M137="",I137="",I137&lt;=0),"",M137/I137)</x:f>
      </x:c>
      <x:c r="W137" s="38" t="str">
        <x:f>IF(OR(N137="",I137="",I137&lt;=0),"",N137/I137)</x:f>
      </x:c>
      <x:c r="X137" s="38" t="str">
        <x:f>IF(OR(O137="",F137="",F137&lt;=0),"",O137/F137)</x:f>
      </x:c>
      <x:c r="Y137" s="40" t="str">
        <x:f>IF(OR(A137="",B137=""),"",B137-A137)</x:f>
      </x:c>
      <x:c r="Z137" s="8" t="str">
        <x:f>IF(COUNTA(A137:R137)=0,"",IF(OR(A137="",B137="",C137="",G137="",H137=""),"INCOMPLETO",IF(B137&lt;A137,"DATA INVÁLIDA",IF(AND(G137="7d",OR(Y137&lt;7,Y137&gt;10)),"FORA DA JANELA",IF(AND(G137="30d",OR(Y137&lt;30,Y137&gt;35)),"FORA DA JANELA",IF(COUNTIFS($C$2:$C$201,C137,$G$2:$G$201,G137)&gt;1,"DUPLICADO","OK"))))))</x:f>
      </x:c>
      <x:c r="AA137" s="44" t="n">
        <x:f>IF(ISNUMBER(H137),1,0)</x:f>
        <x:v>0</x:v>
      </x:c>
      <x:c r="AB137" s="44" t="n">
        <x:f>IF(ISNUMBER(I137),1,0)</x:f>
        <x:v>0</x:v>
      </x:c>
      <x:c r="AC137" s="44" t="n">
        <x:f>IF(ISNUMBER(T137),1,0)</x:f>
        <x:v>0</x:v>
      </x:c>
      <x:c r="AD137" s="44" t="n">
        <x:f>IF(ISNUMBER(U137),1,0)</x:f>
        <x:v>0</x:v>
      </x:c>
      <x:c r="AE137" s="44" t="n">
        <x:f>IF(ISNUMBER(V137),1,0)</x:f>
        <x:v>0</x:v>
      </x:c>
      <x:c r="AF137" s="44" t="n">
        <x:f>IF(ISNUMBER(W137),1,0)</x:f>
        <x:v>0</x:v>
      </x:c>
      <x:c r="AG137" s="44" t="n">
        <x:f>IF(ISNUMBER(X137),1,0)</x:f>
        <x:v>0</x:v>
      </x:c>
      <x:c r="AH137" s="44" t="n">
        <x:f>IF(ISNUMBER(P137),1,0)</x:f>
        <x:v>0</x:v>
      </x:c>
      <x:c r="AI137" s="44" t="n">
        <x:f>IF(ISNUMBER(O137),1,0)</x:f>
        <x:v>0</x:v>
      </x:c>
    </x:row>
    <x:row r="138" ht="22" customHeight="1">
      <x:c r="A138" s="26"/>
      <x:c r="B138" s="26"/>
      <x:c r="C138" s="14"/>
      <x:c r="D138" s="14"/>
      <x:c r="E138" s="14"/>
      <x:c r="F138" s="28"/>
      <x:c r="G138" s="14"/>
      <x:c r="H138" s="30"/>
      <x:c r="I138" s="30"/>
      <x:c r="J138" s="30"/>
      <x:c r="K138" s="30"/>
      <x:c r="L138" s="30"/>
      <x:c r="M138" s="30"/>
      <x:c r="N138" s="30"/>
      <x:c r="O138" s="32"/>
      <x:c r="P138" s="34"/>
      <x:c r="Q138" s="14"/>
      <x:c r="R138" s="14"/>
      <x:c r="S138" s="36" t="str">
        <x:f>IF(COUNT(J138:M138)&lt;4,"",SUM(J138:M138))</x:f>
      </x:c>
      <x:c r="T138" s="38" t="str">
        <x:f>IF(OR(S138="",I138="",I138&lt;=0),"",S138/I138)</x:f>
      </x:c>
      <x:c r="U138" s="38" t="str">
        <x:f>IF(OR(L138="",I138="",I138&lt;=0),"",L138/I138)</x:f>
      </x:c>
      <x:c r="V138" s="38" t="str">
        <x:f>IF(OR(M138="",I138="",I138&lt;=0),"",M138/I138)</x:f>
      </x:c>
      <x:c r="W138" s="38" t="str">
        <x:f>IF(OR(N138="",I138="",I138&lt;=0),"",N138/I138)</x:f>
      </x:c>
      <x:c r="X138" s="38" t="str">
        <x:f>IF(OR(O138="",F138="",F138&lt;=0),"",O138/F138)</x:f>
      </x:c>
      <x:c r="Y138" s="40" t="str">
        <x:f>IF(OR(A138="",B138=""),"",B138-A138)</x:f>
      </x:c>
      <x:c r="Z138" s="8" t="str">
        <x:f>IF(COUNTA(A138:R138)=0,"",IF(OR(A138="",B138="",C138="",G138="",H138=""),"INCOMPLETO",IF(B138&lt;A138,"DATA INVÁLIDA",IF(AND(G138="7d",OR(Y138&lt;7,Y138&gt;10)),"FORA DA JANELA",IF(AND(G138="30d",OR(Y138&lt;30,Y138&gt;35)),"FORA DA JANELA",IF(COUNTIFS($C$2:$C$201,C138,$G$2:$G$201,G138)&gt;1,"DUPLICADO","OK"))))))</x:f>
      </x:c>
      <x:c r="AA138" s="44" t="n">
        <x:f>IF(ISNUMBER(H138),1,0)</x:f>
        <x:v>0</x:v>
      </x:c>
      <x:c r="AB138" s="44" t="n">
        <x:f>IF(ISNUMBER(I138),1,0)</x:f>
        <x:v>0</x:v>
      </x:c>
      <x:c r="AC138" s="44" t="n">
        <x:f>IF(ISNUMBER(T138),1,0)</x:f>
        <x:v>0</x:v>
      </x:c>
      <x:c r="AD138" s="44" t="n">
        <x:f>IF(ISNUMBER(U138),1,0)</x:f>
        <x:v>0</x:v>
      </x:c>
      <x:c r="AE138" s="44" t="n">
        <x:f>IF(ISNUMBER(V138),1,0)</x:f>
        <x:v>0</x:v>
      </x:c>
      <x:c r="AF138" s="44" t="n">
        <x:f>IF(ISNUMBER(W138),1,0)</x:f>
        <x:v>0</x:v>
      </x:c>
      <x:c r="AG138" s="44" t="n">
        <x:f>IF(ISNUMBER(X138),1,0)</x:f>
        <x:v>0</x:v>
      </x:c>
      <x:c r="AH138" s="44" t="n">
        <x:f>IF(ISNUMBER(P138),1,0)</x:f>
        <x:v>0</x:v>
      </x:c>
      <x:c r="AI138" s="44" t="n">
        <x:f>IF(ISNUMBER(O138),1,0)</x:f>
        <x:v>0</x:v>
      </x:c>
    </x:row>
    <x:row r="139" ht="22" customHeight="1">
      <x:c r="A139" s="26"/>
      <x:c r="B139" s="26"/>
      <x:c r="C139" s="14"/>
      <x:c r="D139" s="14"/>
      <x:c r="E139" s="14"/>
      <x:c r="F139" s="28"/>
      <x:c r="G139" s="14"/>
      <x:c r="H139" s="30"/>
      <x:c r="I139" s="30"/>
      <x:c r="J139" s="30"/>
      <x:c r="K139" s="30"/>
      <x:c r="L139" s="30"/>
      <x:c r="M139" s="30"/>
      <x:c r="N139" s="30"/>
      <x:c r="O139" s="32"/>
      <x:c r="P139" s="34"/>
      <x:c r="Q139" s="14"/>
      <x:c r="R139" s="14"/>
      <x:c r="S139" s="36" t="str">
        <x:f>IF(COUNT(J139:M139)&lt;4,"",SUM(J139:M139))</x:f>
      </x:c>
      <x:c r="T139" s="38" t="str">
        <x:f>IF(OR(S139="",I139="",I139&lt;=0),"",S139/I139)</x:f>
      </x:c>
      <x:c r="U139" s="38" t="str">
        <x:f>IF(OR(L139="",I139="",I139&lt;=0),"",L139/I139)</x:f>
      </x:c>
      <x:c r="V139" s="38" t="str">
        <x:f>IF(OR(M139="",I139="",I139&lt;=0),"",M139/I139)</x:f>
      </x:c>
      <x:c r="W139" s="38" t="str">
        <x:f>IF(OR(N139="",I139="",I139&lt;=0),"",N139/I139)</x:f>
      </x:c>
      <x:c r="X139" s="38" t="str">
        <x:f>IF(OR(O139="",F139="",F139&lt;=0),"",O139/F139)</x:f>
      </x:c>
      <x:c r="Y139" s="40" t="str">
        <x:f>IF(OR(A139="",B139=""),"",B139-A139)</x:f>
      </x:c>
      <x:c r="Z139" s="8" t="str">
        <x:f>IF(COUNTA(A139:R139)=0,"",IF(OR(A139="",B139="",C139="",G139="",H139=""),"INCOMPLETO",IF(B139&lt;A139,"DATA INVÁLIDA",IF(AND(G139="7d",OR(Y139&lt;7,Y139&gt;10)),"FORA DA JANELA",IF(AND(G139="30d",OR(Y139&lt;30,Y139&gt;35)),"FORA DA JANELA",IF(COUNTIFS($C$2:$C$201,C139,$G$2:$G$201,G139)&gt;1,"DUPLICADO","OK"))))))</x:f>
      </x:c>
      <x:c r="AA139" s="44" t="n">
        <x:f>IF(ISNUMBER(H139),1,0)</x:f>
        <x:v>0</x:v>
      </x:c>
      <x:c r="AB139" s="44" t="n">
        <x:f>IF(ISNUMBER(I139),1,0)</x:f>
        <x:v>0</x:v>
      </x:c>
      <x:c r="AC139" s="44" t="n">
        <x:f>IF(ISNUMBER(T139),1,0)</x:f>
        <x:v>0</x:v>
      </x:c>
      <x:c r="AD139" s="44" t="n">
        <x:f>IF(ISNUMBER(U139),1,0)</x:f>
        <x:v>0</x:v>
      </x:c>
      <x:c r="AE139" s="44" t="n">
        <x:f>IF(ISNUMBER(V139),1,0)</x:f>
        <x:v>0</x:v>
      </x:c>
      <x:c r="AF139" s="44" t="n">
        <x:f>IF(ISNUMBER(W139),1,0)</x:f>
        <x:v>0</x:v>
      </x:c>
      <x:c r="AG139" s="44" t="n">
        <x:f>IF(ISNUMBER(X139),1,0)</x:f>
        <x:v>0</x:v>
      </x:c>
      <x:c r="AH139" s="44" t="n">
        <x:f>IF(ISNUMBER(P139),1,0)</x:f>
        <x:v>0</x:v>
      </x:c>
      <x:c r="AI139" s="44" t="n">
        <x:f>IF(ISNUMBER(O139),1,0)</x:f>
        <x:v>0</x:v>
      </x:c>
    </x:row>
    <x:row r="140" ht="22" customHeight="1">
      <x:c r="A140" s="26"/>
      <x:c r="B140" s="26"/>
      <x:c r="C140" s="14"/>
      <x:c r="D140" s="14"/>
      <x:c r="E140" s="14"/>
      <x:c r="F140" s="28"/>
      <x:c r="G140" s="14"/>
      <x:c r="H140" s="30"/>
      <x:c r="I140" s="30"/>
      <x:c r="J140" s="30"/>
      <x:c r="K140" s="30"/>
      <x:c r="L140" s="30"/>
      <x:c r="M140" s="30"/>
      <x:c r="N140" s="30"/>
      <x:c r="O140" s="32"/>
      <x:c r="P140" s="34"/>
      <x:c r="Q140" s="14"/>
      <x:c r="R140" s="14"/>
      <x:c r="S140" s="36" t="str">
        <x:f>IF(COUNT(J140:M140)&lt;4,"",SUM(J140:M140))</x:f>
      </x:c>
      <x:c r="T140" s="38" t="str">
        <x:f>IF(OR(S140="",I140="",I140&lt;=0),"",S140/I140)</x:f>
      </x:c>
      <x:c r="U140" s="38" t="str">
        <x:f>IF(OR(L140="",I140="",I140&lt;=0),"",L140/I140)</x:f>
      </x:c>
      <x:c r="V140" s="38" t="str">
        <x:f>IF(OR(M140="",I140="",I140&lt;=0),"",M140/I140)</x:f>
      </x:c>
      <x:c r="W140" s="38" t="str">
        <x:f>IF(OR(N140="",I140="",I140&lt;=0),"",N140/I140)</x:f>
      </x:c>
      <x:c r="X140" s="38" t="str">
        <x:f>IF(OR(O140="",F140="",F140&lt;=0),"",O140/F140)</x:f>
      </x:c>
      <x:c r="Y140" s="40" t="str">
        <x:f>IF(OR(A140="",B140=""),"",B140-A140)</x:f>
      </x:c>
      <x:c r="Z140" s="8" t="str">
        <x:f>IF(COUNTA(A140:R140)=0,"",IF(OR(A140="",B140="",C140="",G140="",H140=""),"INCOMPLETO",IF(B140&lt;A140,"DATA INVÁLIDA",IF(AND(G140="7d",OR(Y140&lt;7,Y140&gt;10)),"FORA DA JANELA",IF(AND(G140="30d",OR(Y140&lt;30,Y140&gt;35)),"FORA DA JANELA",IF(COUNTIFS($C$2:$C$201,C140,$G$2:$G$201,G140)&gt;1,"DUPLICADO","OK"))))))</x:f>
      </x:c>
      <x:c r="AA140" s="44" t="n">
        <x:f>IF(ISNUMBER(H140),1,0)</x:f>
        <x:v>0</x:v>
      </x:c>
      <x:c r="AB140" s="44" t="n">
        <x:f>IF(ISNUMBER(I140),1,0)</x:f>
        <x:v>0</x:v>
      </x:c>
      <x:c r="AC140" s="44" t="n">
        <x:f>IF(ISNUMBER(T140),1,0)</x:f>
        <x:v>0</x:v>
      </x:c>
      <x:c r="AD140" s="44" t="n">
        <x:f>IF(ISNUMBER(U140),1,0)</x:f>
        <x:v>0</x:v>
      </x:c>
      <x:c r="AE140" s="44" t="n">
        <x:f>IF(ISNUMBER(V140),1,0)</x:f>
        <x:v>0</x:v>
      </x:c>
      <x:c r="AF140" s="44" t="n">
        <x:f>IF(ISNUMBER(W140),1,0)</x:f>
        <x:v>0</x:v>
      </x:c>
      <x:c r="AG140" s="44" t="n">
        <x:f>IF(ISNUMBER(X140),1,0)</x:f>
        <x:v>0</x:v>
      </x:c>
      <x:c r="AH140" s="44" t="n">
        <x:f>IF(ISNUMBER(P140),1,0)</x:f>
        <x:v>0</x:v>
      </x:c>
      <x:c r="AI140" s="44" t="n">
        <x:f>IF(ISNUMBER(O140),1,0)</x:f>
        <x:v>0</x:v>
      </x:c>
    </x:row>
    <x:row r="141" ht="22" customHeight="1">
      <x:c r="A141" s="26"/>
      <x:c r="B141" s="26"/>
      <x:c r="C141" s="14"/>
      <x:c r="D141" s="14"/>
      <x:c r="E141" s="14"/>
      <x:c r="F141" s="28"/>
      <x:c r="G141" s="14"/>
      <x:c r="H141" s="30"/>
      <x:c r="I141" s="30"/>
      <x:c r="J141" s="30"/>
      <x:c r="K141" s="30"/>
      <x:c r="L141" s="30"/>
      <x:c r="M141" s="30"/>
      <x:c r="N141" s="30"/>
      <x:c r="O141" s="32"/>
      <x:c r="P141" s="34"/>
      <x:c r="Q141" s="14"/>
      <x:c r="R141" s="14"/>
      <x:c r="S141" s="36" t="str">
        <x:f>IF(COUNT(J141:M141)&lt;4,"",SUM(J141:M141))</x:f>
      </x:c>
      <x:c r="T141" s="38" t="str">
        <x:f>IF(OR(S141="",I141="",I141&lt;=0),"",S141/I141)</x:f>
      </x:c>
      <x:c r="U141" s="38" t="str">
        <x:f>IF(OR(L141="",I141="",I141&lt;=0),"",L141/I141)</x:f>
      </x:c>
      <x:c r="V141" s="38" t="str">
        <x:f>IF(OR(M141="",I141="",I141&lt;=0),"",M141/I141)</x:f>
      </x:c>
      <x:c r="W141" s="38" t="str">
        <x:f>IF(OR(N141="",I141="",I141&lt;=0),"",N141/I141)</x:f>
      </x:c>
      <x:c r="X141" s="38" t="str">
        <x:f>IF(OR(O141="",F141="",F141&lt;=0),"",O141/F141)</x:f>
      </x:c>
      <x:c r="Y141" s="40" t="str">
        <x:f>IF(OR(A141="",B141=""),"",B141-A141)</x:f>
      </x:c>
      <x:c r="Z141" s="8" t="str">
        <x:f>IF(COUNTA(A141:R141)=0,"",IF(OR(A141="",B141="",C141="",G141="",H141=""),"INCOMPLETO",IF(B141&lt;A141,"DATA INVÁLIDA",IF(AND(G141="7d",OR(Y141&lt;7,Y141&gt;10)),"FORA DA JANELA",IF(AND(G141="30d",OR(Y141&lt;30,Y141&gt;35)),"FORA DA JANELA",IF(COUNTIFS($C$2:$C$201,C141,$G$2:$G$201,G141)&gt;1,"DUPLICADO","OK"))))))</x:f>
      </x:c>
      <x:c r="AA141" s="44" t="n">
        <x:f>IF(ISNUMBER(H141),1,0)</x:f>
        <x:v>0</x:v>
      </x:c>
      <x:c r="AB141" s="44" t="n">
        <x:f>IF(ISNUMBER(I141),1,0)</x:f>
        <x:v>0</x:v>
      </x:c>
      <x:c r="AC141" s="44" t="n">
        <x:f>IF(ISNUMBER(T141),1,0)</x:f>
        <x:v>0</x:v>
      </x:c>
      <x:c r="AD141" s="44" t="n">
        <x:f>IF(ISNUMBER(U141),1,0)</x:f>
        <x:v>0</x:v>
      </x:c>
      <x:c r="AE141" s="44" t="n">
        <x:f>IF(ISNUMBER(V141),1,0)</x:f>
        <x:v>0</x:v>
      </x:c>
      <x:c r="AF141" s="44" t="n">
        <x:f>IF(ISNUMBER(W141),1,0)</x:f>
        <x:v>0</x:v>
      </x:c>
      <x:c r="AG141" s="44" t="n">
        <x:f>IF(ISNUMBER(X141),1,0)</x:f>
        <x:v>0</x:v>
      </x:c>
      <x:c r="AH141" s="44" t="n">
        <x:f>IF(ISNUMBER(P141),1,0)</x:f>
        <x:v>0</x:v>
      </x:c>
      <x:c r="AI141" s="44" t="n">
        <x:f>IF(ISNUMBER(O141),1,0)</x:f>
        <x:v>0</x:v>
      </x:c>
    </x:row>
    <x:row r="142" ht="22" customHeight="1">
      <x:c r="A142" s="26"/>
      <x:c r="B142" s="26"/>
      <x:c r="C142" s="14"/>
      <x:c r="D142" s="14"/>
      <x:c r="E142" s="14"/>
      <x:c r="F142" s="28"/>
      <x:c r="G142" s="14"/>
      <x:c r="H142" s="30"/>
      <x:c r="I142" s="30"/>
      <x:c r="J142" s="30"/>
      <x:c r="K142" s="30"/>
      <x:c r="L142" s="30"/>
      <x:c r="M142" s="30"/>
      <x:c r="N142" s="30"/>
      <x:c r="O142" s="32"/>
      <x:c r="P142" s="34"/>
      <x:c r="Q142" s="14"/>
      <x:c r="R142" s="14"/>
      <x:c r="S142" s="36" t="str">
        <x:f>IF(COUNT(J142:M142)&lt;4,"",SUM(J142:M142))</x:f>
      </x:c>
      <x:c r="T142" s="38" t="str">
        <x:f>IF(OR(S142="",I142="",I142&lt;=0),"",S142/I142)</x:f>
      </x:c>
      <x:c r="U142" s="38" t="str">
        <x:f>IF(OR(L142="",I142="",I142&lt;=0),"",L142/I142)</x:f>
      </x:c>
      <x:c r="V142" s="38" t="str">
        <x:f>IF(OR(M142="",I142="",I142&lt;=0),"",M142/I142)</x:f>
      </x:c>
      <x:c r="W142" s="38" t="str">
        <x:f>IF(OR(N142="",I142="",I142&lt;=0),"",N142/I142)</x:f>
      </x:c>
      <x:c r="X142" s="38" t="str">
        <x:f>IF(OR(O142="",F142="",F142&lt;=0),"",O142/F142)</x:f>
      </x:c>
      <x:c r="Y142" s="40" t="str">
        <x:f>IF(OR(A142="",B142=""),"",B142-A142)</x:f>
      </x:c>
      <x:c r="Z142" s="8" t="str">
        <x:f>IF(COUNTA(A142:R142)=0,"",IF(OR(A142="",B142="",C142="",G142="",H142=""),"INCOMPLETO",IF(B142&lt;A142,"DATA INVÁLIDA",IF(AND(G142="7d",OR(Y142&lt;7,Y142&gt;10)),"FORA DA JANELA",IF(AND(G142="30d",OR(Y142&lt;30,Y142&gt;35)),"FORA DA JANELA",IF(COUNTIFS($C$2:$C$201,C142,$G$2:$G$201,G142)&gt;1,"DUPLICADO","OK"))))))</x:f>
      </x:c>
      <x:c r="AA142" s="44" t="n">
        <x:f>IF(ISNUMBER(H142),1,0)</x:f>
        <x:v>0</x:v>
      </x:c>
      <x:c r="AB142" s="44" t="n">
        <x:f>IF(ISNUMBER(I142),1,0)</x:f>
        <x:v>0</x:v>
      </x:c>
      <x:c r="AC142" s="44" t="n">
        <x:f>IF(ISNUMBER(T142),1,0)</x:f>
        <x:v>0</x:v>
      </x:c>
      <x:c r="AD142" s="44" t="n">
        <x:f>IF(ISNUMBER(U142),1,0)</x:f>
        <x:v>0</x:v>
      </x:c>
      <x:c r="AE142" s="44" t="n">
        <x:f>IF(ISNUMBER(V142),1,0)</x:f>
        <x:v>0</x:v>
      </x:c>
      <x:c r="AF142" s="44" t="n">
        <x:f>IF(ISNUMBER(W142),1,0)</x:f>
        <x:v>0</x:v>
      </x:c>
      <x:c r="AG142" s="44" t="n">
        <x:f>IF(ISNUMBER(X142),1,0)</x:f>
        <x:v>0</x:v>
      </x:c>
      <x:c r="AH142" s="44" t="n">
        <x:f>IF(ISNUMBER(P142),1,0)</x:f>
        <x:v>0</x:v>
      </x:c>
      <x:c r="AI142" s="44" t="n">
        <x:f>IF(ISNUMBER(O142),1,0)</x:f>
        <x:v>0</x:v>
      </x:c>
    </x:row>
    <x:row r="143" ht="22" customHeight="1">
      <x:c r="A143" s="26"/>
      <x:c r="B143" s="26"/>
      <x:c r="C143" s="14"/>
      <x:c r="D143" s="14"/>
      <x:c r="E143" s="14"/>
      <x:c r="F143" s="28"/>
      <x:c r="G143" s="14"/>
      <x:c r="H143" s="30"/>
      <x:c r="I143" s="30"/>
      <x:c r="J143" s="30"/>
      <x:c r="K143" s="30"/>
      <x:c r="L143" s="30"/>
      <x:c r="M143" s="30"/>
      <x:c r="N143" s="30"/>
      <x:c r="O143" s="32"/>
      <x:c r="P143" s="34"/>
      <x:c r="Q143" s="14"/>
      <x:c r="R143" s="14"/>
      <x:c r="S143" s="36" t="str">
        <x:f>IF(COUNT(J143:M143)&lt;4,"",SUM(J143:M143))</x:f>
      </x:c>
      <x:c r="T143" s="38" t="str">
        <x:f>IF(OR(S143="",I143="",I143&lt;=0),"",S143/I143)</x:f>
      </x:c>
      <x:c r="U143" s="38" t="str">
        <x:f>IF(OR(L143="",I143="",I143&lt;=0),"",L143/I143)</x:f>
      </x:c>
      <x:c r="V143" s="38" t="str">
        <x:f>IF(OR(M143="",I143="",I143&lt;=0),"",M143/I143)</x:f>
      </x:c>
      <x:c r="W143" s="38" t="str">
        <x:f>IF(OR(N143="",I143="",I143&lt;=0),"",N143/I143)</x:f>
      </x:c>
      <x:c r="X143" s="38" t="str">
        <x:f>IF(OR(O143="",F143="",F143&lt;=0),"",O143/F143)</x:f>
      </x:c>
      <x:c r="Y143" s="40" t="str">
        <x:f>IF(OR(A143="",B143=""),"",B143-A143)</x:f>
      </x:c>
      <x:c r="Z143" s="8" t="str">
        <x:f>IF(COUNTA(A143:R143)=0,"",IF(OR(A143="",B143="",C143="",G143="",H143=""),"INCOMPLETO",IF(B143&lt;A143,"DATA INVÁLIDA",IF(AND(G143="7d",OR(Y143&lt;7,Y143&gt;10)),"FORA DA JANELA",IF(AND(G143="30d",OR(Y143&lt;30,Y143&gt;35)),"FORA DA JANELA",IF(COUNTIFS($C$2:$C$201,C143,$G$2:$G$201,G143)&gt;1,"DUPLICADO","OK"))))))</x:f>
      </x:c>
      <x:c r="AA143" s="44" t="n">
        <x:f>IF(ISNUMBER(H143),1,0)</x:f>
        <x:v>0</x:v>
      </x:c>
      <x:c r="AB143" s="44" t="n">
        <x:f>IF(ISNUMBER(I143),1,0)</x:f>
        <x:v>0</x:v>
      </x:c>
      <x:c r="AC143" s="44" t="n">
        <x:f>IF(ISNUMBER(T143),1,0)</x:f>
        <x:v>0</x:v>
      </x:c>
      <x:c r="AD143" s="44" t="n">
        <x:f>IF(ISNUMBER(U143),1,0)</x:f>
        <x:v>0</x:v>
      </x:c>
      <x:c r="AE143" s="44" t="n">
        <x:f>IF(ISNUMBER(V143),1,0)</x:f>
        <x:v>0</x:v>
      </x:c>
      <x:c r="AF143" s="44" t="n">
        <x:f>IF(ISNUMBER(W143),1,0)</x:f>
        <x:v>0</x:v>
      </x:c>
      <x:c r="AG143" s="44" t="n">
        <x:f>IF(ISNUMBER(X143),1,0)</x:f>
        <x:v>0</x:v>
      </x:c>
      <x:c r="AH143" s="44" t="n">
        <x:f>IF(ISNUMBER(P143),1,0)</x:f>
        <x:v>0</x:v>
      </x:c>
      <x:c r="AI143" s="44" t="n">
        <x:f>IF(ISNUMBER(O143),1,0)</x:f>
        <x:v>0</x:v>
      </x:c>
    </x:row>
    <x:row r="144" ht="22" customHeight="1">
      <x:c r="A144" s="26"/>
      <x:c r="B144" s="26"/>
      <x:c r="C144" s="14"/>
      <x:c r="D144" s="14"/>
      <x:c r="E144" s="14"/>
      <x:c r="F144" s="28"/>
      <x:c r="G144" s="14"/>
      <x:c r="H144" s="30"/>
      <x:c r="I144" s="30"/>
      <x:c r="J144" s="30"/>
      <x:c r="K144" s="30"/>
      <x:c r="L144" s="30"/>
      <x:c r="M144" s="30"/>
      <x:c r="N144" s="30"/>
      <x:c r="O144" s="32"/>
      <x:c r="P144" s="34"/>
      <x:c r="Q144" s="14"/>
      <x:c r="R144" s="14"/>
      <x:c r="S144" s="36" t="str">
        <x:f>IF(COUNT(J144:M144)&lt;4,"",SUM(J144:M144))</x:f>
      </x:c>
      <x:c r="T144" s="38" t="str">
        <x:f>IF(OR(S144="",I144="",I144&lt;=0),"",S144/I144)</x:f>
      </x:c>
      <x:c r="U144" s="38" t="str">
        <x:f>IF(OR(L144="",I144="",I144&lt;=0),"",L144/I144)</x:f>
      </x:c>
      <x:c r="V144" s="38" t="str">
        <x:f>IF(OR(M144="",I144="",I144&lt;=0),"",M144/I144)</x:f>
      </x:c>
      <x:c r="W144" s="38" t="str">
        <x:f>IF(OR(N144="",I144="",I144&lt;=0),"",N144/I144)</x:f>
      </x:c>
      <x:c r="X144" s="38" t="str">
        <x:f>IF(OR(O144="",F144="",F144&lt;=0),"",O144/F144)</x:f>
      </x:c>
      <x:c r="Y144" s="40" t="str">
        <x:f>IF(OR(A144="",B144=""),"",B144-A144)</x:f>
      </x:c>
      <x:c r="Z144" s="8" t="str">
        <x:f>IF(COUNTA(A144:R144)=0,"",IF(OR(A144="",B144="",C144="",G144="",H144=""),"INCOMPLETO",IF(B144&lt;A144,"DATA INVÁLIDA",IF(AND(G144="7d",OR(Y144&lt;7,Y144&gt;10)),"FORA DA JANELA",IF(AND(G144="30d",OR(Y144&lt;30,Y144&gt;35)),"FORA DA JANELA",IF(COUNTIFS($C$2:$C$201,C144,$G$2:$G$201,G144)&gt;1,"DUPLICADO","OK"))))))</x:f>
      </x:c>
      <x:c r="AA144" s="44" t="n">
        <x:f>IF(ISNUMBER(H144),1,0)</x:f>
        <x:v>0</x:v>
      </x:c>
      <x:c r="AB144" s="44" t="n">
        <x:f>IF(ISNUMBER(I144),1,0)</x:f>
        <x:v>0</x:v>
      </x:c>
      <x:c r="AC144" s="44" t="n">
        <x:f>IF(ISNUMBER(T144),1,0)</x:f>
        <x:v>0</x:v>
      </x:c>
      <x:c r="AD144" s="44" t="n">
        <x:f>IF(ISNUMBER(U144),1,0)</x:f>
        <x:v>0</x:v>
      </x:c>
      <x:c r="AE144" s="44" t="n">
        <x:f>IF(ISNUMBER(V144),1,0)</x:f>
        <x:v>0</x:v>
      </x:c>
      <x:c r="AF144" s="44" t="n">
        <x:f>IF(ISNUMBER(W144),1,0)</x:f>
        <x:v>0</x:v>
      </x:c>
      <x:c r="AG144" s="44" t="n">
        <x:f>IF(ISNUMBER(X144),1,0)</x:f>
        <x:v>0</x:v>
      </x:c>
      <x:c r="AH144" s="44" t="n">
        <x:f>IF(ISNUMBER(P144),1,0)</x:f>
        <x:v>0</x:v>
      </x:c>
      <x:c r="AI144" s="44" t="n">
        <x:f>IF(ISNUMBER(O144),1,0)</x:f>
        <x:v>0</x:v>
      </x:c>
    </x:row>
    <x:row r="145" ht="22" customHeight="1">
      <x:c r="A145" s="26"/>
      <x:c r="B145" s="26"/>
      <x:c r="C145" s="14"/>
      <x:c r="D145" s="14"/>
      <x:c r="E145" s="14"/>
      <x:c r="F145" s="28"/>
      <x:c r="G145" s="14"/>
      <x:c r="H145" s="30"/>
      <x:c r="I145" s="30"/>
      <x:c r="J145" s="30"/>
      <x:c r="K145" s="30"/>
      <x:c r="L145" s="30"/>
      <x:c r="M145" s="30"/>
      <x:c r="N145" s="30"/>
      <x:c r="O145" s="32"/>
      <x:c r="P145" s="34"/>
      <x:c r="Q145" s="14"/>
      <x:c r="R145" s="14"/>
      <x:c r="S145" s="36" t="str">
        <x:f>IF(COUNT(J145:M145)&lt;4,"",SUM(J145:M145))</x:f>
      </x:c>
      <x:c r="T145" s="38" t="str">
        <x:f>IF(OR(S145="",I145="",I145&lt;=0),"",S145/I145)</x:f>
      </x:c>
      <x:c r="U145" s="38" t="str">
        <x:f>IF(OR(L145="",I145="",I145&lt;=0),"",L145/I145)</x:f>
      </x:c>
      <x:c r="V145" s="38" t="str">
        <x:f>IF(OR(M145="",I145="",I145&lt;=0),"",M145/I145)</x:f>
      </x:c>
      <x:c r="W145" s="38" t="str">
        <x:f>IF(OR(N145="",I145="",I145&lt;=0),"",N145/I145)</x:f>
      </x:c>
      <x:c r="X145" s="38" t="str">
        <x:f>IF(OR(O145="",F145="",F145&lt;=0),"",O145/F145)</x:f>
      </x:c>
      <x:c r="Y145" s="40" t="str">
        <x:f>IF(OR(A145="",B145=""),"",B145-A145)</x:f>
      </x:c>
      <x:c r="Z145" s="8" t="str">
        <x:f>IF(COUNTA(A145:R145)=0,"",IF(OR(A145="",B145="",C145="",G145="",H145=""),"INCOMPLETO",IF(B145&lt;A145,"DATA INVÁLIDA",IF(AND(G145="7d",OR(Y145&lt;7,Y145&gt;10)),"FORA DA JANELA",IF(AND(G145="30d",OR(Y145&lt;30,Y145&gt;35)),"FORA DA JANELA",IF(COUNTIFS($C$2:$C$201,C145,$G$2:$G$201,G145)&gt;1,"DUPLICADO","OK"))))))</x:f>
      </x:c>
      <x:c r="AA145" s="44" t="n">
        <x:f>IF(ISNUMBER(H145),1,0)</x:f>
        <x:v>0</x:v>
      </x:c>
      <x:c r="AB145" s="44" t="n">
        <x:f>IF(ISNUMBER(I145),1,0)</x:f>
        <x:v>0</x:v>
      </x:c>
      <x:c r="AC145" s="44" t="n">
        <x:f>IF(ISNUMBER(T145),1,0)</x:f>
        <x:v>0</x:v>
      </x:c>
      <x:c r="AD145" s="44" t="n">
        <x:f>IF(ISNUMBER(U145),1,0)</x:f>
        <x:v>0</x:v>
      </x:c>
      <x:c r="AE145" s="44" t="n">
        <x:f>IF(ISNUMBER(V145),1,0)</x:f>
        <x:v>0</x:v>
      </x:c>
      <x:c r="AF145" s="44" t="n">
        <x:f>IF(ISNUMBER(W145),1,0)</x:f>
        <x:v>0</x:v>
      </x:c>
      <x:c r="AG145" s="44" t="n">
        <x:f>IF(ISNUMBER(X145),1,0)</x:f>
        <x:v>0</x:v>
      </x:c>
      <x:c r="AH145" s="44" t="n">
        <x:f>IF(ISNUMBER(P145),1,0)</x:f>
        <x:v>0</x:v>
      </x:c>
      <x:c r="AI145" s="44" t="n">
        <x:f>IF(ISNUMBER(O145),1,0)</x:f>
        <x:v>0</x:v>
      </x:c>
    </x:row>
    <x:row r="146" ht="22" customHeight="1">
      <x:c r="A146" s="26"/>
      <x:c r="B146" s="26"/>
      <x:c r="C146" s="14"/>
      <x:c r="D146" s="14"/>
      <x:c r="E146" s="14"/>
      <x:c r="F146" s="28"/>
      <x:c r="G146" s="14"/>
      <x:c r="H146" s="30"/>
      <x:c r="I146" s="30"/>
      <x:c r="J146" s="30"/>
      <x:c r="K146" s="30"/>
      <x:c r="L146" s="30"/>
      <x:c r="M146" s="30"/>
      <x:c r="N146" s="30"/>
      <x:c r="O146" s="32"/>
      <x:c r="P146" s="34"/>
      <x:c r="Q146" s="14"/>
      <x:c r="R146" s="14"/>
      <x:c r="S146" s="36" t="str">
        <x:f>IF(COUNT(J146:M146)&lt;4,"",SUM(J146:M146))</x:f>
      </x:c>
      <x:c r="T146" s="38" t="str">
        <x:f>IF(OR(S146="",I146="",I146&lt;=0),"",S146/I146)</x:f>
      </x:c>
      <x:c r="U146" s="38" t="str">
        <x:f>IF(OR(L146="",I146="",I146&lt;=0),"",L146/I146)</x:f>
      </x:c>
      <x:c r="V146" s="38" t="str">
        <x:f>IF(OR(M146="",I146="",I146&lt;=0),"",M146/I146)</x:f>
      </x:c>
      <x:c r="W146" s="38" t="str">
        <x:f>IF(OR(N146="",I146="",I146&lt;=0),"",N146/I146)</x:f>
      </x:c>
      <x:c r="X146" s="38" t="str">
        <x:f>IF(OR(O146="",F146="",F146&lt;=0),"",O146/F146)</x:f>
      </x:c>
      <x:c r="Y146" s="40" t="str">
        <x:f>IF(OR(A146="",B146=""),"",B146-A146)</x:f>
      </x:c>
      <x:c r="Z146" s="8" t="str">
        <x:f>IF(COUNTA(A146:R146)=0,"",IF(OR(A146="",B146="",C146="",G146="",H146=""),"INCOMPLETO",IF(B146&lt;A146,"DATA INVÁLIDA",IF(AND(G146="7d",OR(Y146&lt;7,Y146&gt;10)),"FORA DA JANELA",IF(AND(G146="30d",OR(Y146&lt;30,Y146&gt;35)),"FORA DA JANELA",IF(COUNTIFS($C$2:$C$201,C146,$G$2:$G$201,G146)&gt;1,"DUPLICADO","OK"))))))</x:f>
      </x:c>
      <x:c r="AA146" s="44" t="n">
        <x:f>IF(ISNUMBER(H146),1,0)</x:f>
        <x:v>0</x:v>
      </x:c>
      <x:c r="AB146" s="44" t="n">
        <x:f>IF(ISNUMBER(I146),1,0)</x:f>
        <x:v>0</x:v>
      </x:c>
      <x:c r="AC146" s="44" t="n">
        <x:f>IF(ISNUMBER(T146),1,0)</x:f>
        <x:v>0</x:v>
      </x:c>
      <x:c r="AD146" s="44" t="n">
        <x:f>IF(ISNUMBER(U146),1,0)</x:f>
        <x:v>0</x:v>
      </x:c>
      <x:c r="AE146" s="44" t="n">
        <x:f>IF(ISNUMBER(V146),1,0)</x:f>
        <x:v>0</x:v>
      </x:c>
      <x:c r="AF146" s="44" t="n">
        <x:f>IF(ISNUMBER(W146),1,0)</x:f>
        <x:v>0</x:v>
      </x:c>
      <x:c r="AG146" s="44" t="n">
        <x:f>IF(ISNUMBER(X146),1,0)</x:f>
        <x:v>0</x:v>
      </x:c>
      <x:c r="AH146" s="44" t="n">
        <x:f>IF(ISNUMBER(P146),1,0)</x:f>
        <x:v>0</x:v>
      </x:c>
      <x:c r="AI146" s="44" t="n">
        <x:f>IF(ISNUMBER(O146),1,0)</x:f>
        <x:v>0</x:v>
      </x:c>
    </x:row>
    <x:row r="147" ht="22" customHeight="1">
      <x:c r="A147" s="26"/>
      <x:c r="B147" s="26"/>
      <x:c r="C147" s="14"/>
      <x:c r="D147" s="14"/>
      <x:c r="E147" s="14"/>
      <x:c r="F147" s="28"/>
      <x:c r="G147" s="14"/>
      <x:c r="H147" s="30"/>
      <x:c r="I147" s="30"/>
      <x:c r="J147" s="30"/>
      <x:c r="K147" s="30"/>
      <x:c r="L147" s="30"/>
      <x:c r="M147" s="30"/>
      <x:c r="N147" s="30"/>
      <x:c r="O147" s="32"/>
      <x:c r="P147" s="34"/>
      <x:c r="Q147" s="14"/>
      <x:c r="R147" s="14"/>
      <x:c r="S147" s="36" t="str">
        <x:f>IF(COUNT(J147:M147)&lt;4,"",SUM(J147:M147))</x:f>
      </x:c>
      <x:c r="T147" s="38" t="str">
        <x:f>IF(OR(S147="",I147="",I147&lt;=0),"",S147/I147)</x:f>
      </x:c>
      <x:c r="U147" s="38" t="str">
        <x:f>IF(OR(L147="",I147="",I147&lt;=0),"",L147/I147)</x:f>
      </x:c>
      <x:c r="V147" s="38" t="str">
        <x:f>IF(OR(M147="",I147="",I147&lt;=0),"",M147/I147)</x:f>
      </x:c>
      <x:c r="W147" s="38" t="str">
        <x:f>IF(OR(N147="",I147="",I147&lt;=0),"",N147/I147)</x:f>
      </x:c>
      <x:c r="X147" s="38" t="str">
        <x:f>IF(OR(O147="",F147="",F147&lt;=0),"",O147/F147)</x:f>
      </x:c>
      <x:c r="Y147" s="40" t="str">
        <x:f>IF(OR(A147="",B147=""),"",B147-A147)</x:f>
      </x:c>
      <x:c r="Z147" s="8" t="str">
        <x:f>IF(COUNTA(A147:R147)=0,"",IF(OR(A147="",B147="",C147="",G147="",H147=""),"INCOMPLETO",IF(B147&lt;A147,"DATA INVÁLIDA",IF(AND(G147="7d",OR(Y147&lt;7,Y147&gt;10)),"FORA DA JANELA",IF(AND(G147="30d",OR(Y147&lt;30,Y147&gt;35)),"FORA DA JANELA",IF(COUNTIFS($C$2:$C$201,C147,$G$2:$G$201,G147)&gt;1,"DUPLICADO","OK"))))))</x:f>
      </x:c>
      <x:c r="AA147" s="44" t="n">
        <x:f>IF(ISNUMBER(H147),1,0)</x:f>
        <x:v>0</x:v>
      </x:c>
      <x:c r="AB147" s="44" t="n">
        <x:f>IF(ISNUMBER(I147),1,0)</x:f>
        <x:v>0</x:v>
      </x:c>
      <x:c r="AC147" s="44" t="n">
        <x:f>IF(ISNUMBER(T147),1,0)</x:f>
        <x:v>0</x:v>
      </x:c>
      <x:c r="AD147" s="44" t="n">
        <x:f>IF(ISNUMBER(U147),1,0)</x:f>
        <x:v>0</x:v>
      </x:c>
      <x:c r="AE147" s="44" t="n">
        <x:f>IF(ISNUMBER(V147),1,0)</x:f>
        <x:v>0</x:v>
      </x:c>
      <x:c r="AF147" s="44" t="n">
        <x:f>IF(ISNUMBER(W147),1,0)</x:f>
        <x:v>0</x:v>
      </x:c>
      <x:c r="AG147" s="44" t="n">
        <x:f>IF(ISNUMBER(X147),1,0)</x:f>
        <x:v>0</x:v>
      </x:c>
      <x:c r="AH147" s="44" t="n">
        <x:f>IF(ISNUMBER(P147),1,0)</x:f>
        <x:v>0</x:v>
      </x:c>
      <x:c r="AI147" s="44" t="n">
        <x:f>IF(ISNUMBER(O147),1,0)</x:f>
        <x:v>0</x:v>
      </x:c>
    </x:row>
    <x:row r="148" ht="22" customHeight="1">
      <x:c r="A148" s="26"/>
      <x:c r="B148" s="26"/>
      <x:c r="C148" s="14"/>
      <x:c r="D148" s="14"/>
      <x:c r="E148" s="14"/>
      <x:c r="F148" s="28"/>
      <x:c r="G148" s="14"/>
      <x:c r="H148" s="30"/>
      <x:c r="I148" s="30"/>
      <x:c r="J148" s="30"/>
      <x:c r="K148" s="30"/>
      <x:c r="L148" s="30"/>
      <x:c r="M148" s="30"/>
      <x:c r="N148" s="30"/>
      <x:c r="O148" s="32"/>
      <x:c r="P148" s="34"/>
      <x:c r="Q148" s="14"/>
      <x:c r="R148" s="14"/>
      <x:c r="S148" s="36" t="str">
        <x:f>IF(COUNT(J148:M148)&lt;4,"",SUM(J148:M148))</x:f>
      </x:c>
      <x:c r="T148" s="38" t="str">
        <x:f>IF(OR(S148="",I148="",I148&lt;=0),"",S148/I148)</x:f>
      </x:c>
      <x:c r="U148" s="38" t="str">
        <x:f>IF(OR(L148="",I148="",I148&lt;=0),"",L148/I148)</x:f>
      </x:c>
      <x:c r="V148" s="38" t="str">
        <x:f>IF(OR(M148="",I148="",I148&lt;=0),"",M148/I148)</x:f>
      </x:c>
      <x:c r="W148" s="38" t="str">
        <x:f>IF(OR(N148="",I148="",I148&lt;=0),"",N148/I148)</x:f>
      </x:c>
      <x:c r="X148" s="38" t="str">
        <x:f>IF(OR(O148="",F148="",F148&lt;=0),"",O148/F148)</x:f>
      </x:c>
      <x:c r="Y148" s="40" t="str">
        <x:f>IF(OR(A148="",B148=""),"",B148-A148)</x:f>
      </x:c>
      <x:c r="Z148" s="8" t="str">
        <x:f>IF(COUNTA(A148:R148)=0,"",IF(OR(A148="",B148="",C148="",G148="",H148=""),"INCOMPLETO",IF(B148&lt;A148,"DATA INVÁLIDA",IF(AND(G148="7d",OR(Y148&lt;7,Y148&gt;10)),"FORA DA JANELA",IF(AND(G148="30d",OR(Y148&lt;30,Y148&gt;35)),"FORA DA JANELA",IF(COUNTIFS($C$2:$C$201,C148,$G$2:$G$201,G148)&gt;1,"DUPLICADO","OK"))))))</x:f>
      </x:c>
      <x:c r="AA148" s="44" t="n">
        <x:f>IF(ISNUMBER(H148),1,0)</x:f>
        <x:v>0</x:v>
      </x:c>
      <x:c r="AB148" s="44" t="n">
        <x:f>IF(ISNUMBER(I148),1,0)</x:f>
        <x:v>0</x:v>
      </x:c>
      <x:c r="AC148" s="44" t="n">
        <x:f>IF(ISNUMBER(T148),1,0)</x:f>
        <x:v>0</x:v>
      </x:c>
      <x:c r="AD148" s="44" t="n">
        <x:f>IF(ISNUMBER(U148),1,0)</x:f>
        <x:v>0</x:v>
      </x:c>
      <x:c r="AE148" s="44" t="n">
        <x:f>IF(ISNUMBER(V148),1,0)</x:f>
        <x:v>0</x:v>
      </x:c>
      <x:c r="AF148" s="44" t="n">
        <x:f>IF(ISNUMBER(W148),1,0)</x:f>
        <x:v>0</x:v>
      </x:c>
      <x:c r="AG148" s="44" t="n">
        <x:f>IF(ISNUMBER(X148),1,0)</x:f>
        <x:v>0</x:v>
      </x:c>
      <x:c r="AH148" s="44" t="n">
        <x:f>IF(ISNUMBER(P148),1,0)</x:f>
        <x:v>0</x:v>
      </x:c>
      <x:c r="AI148" s="44" t="n">
        <x:f>IF(ISNUMBER(O148),1,0)</x:f>
        <x:v>0</x:v>
      </x:c>
    </x:row>
    <x:row r="149" ht="22" customHeight="1">
      <x:c r="A149" s="26"/>
      <x:c r="B149" s="26"/>
      <x:c r="C149" s="14"/>
      <x:c r="D149" s="14"/>
      <x:c r="E149" s="14"/>
      <x:c r="F149" s="28"/>
      <x:c r="G149" s="14"/>
      <x:c r="H149" s="30"/>
      <x:c r="I149" s="30"/>
      <x:c r="J149" s="30"/>
      <x:c r="K149" s="30"/>
      <x:c r="L149" s="30"/>
      <x:c r="M149" s="30"/>
      <x:c r="N149" s="30"/>
      <x:c r="O149" s="32"/>
      <x:c r="P149" s="34"/>
      <x:c r="Q149" s="14"/>
      <x:c r="R149" s="14"/>
      <x:c r="S149" s="36" t="str">
        <x:f>IF(COUNT(J149:M149)&lt;4,"",SUM(J149:M149))</x:f>
      </x:c>
      <x:c r="T149" s="38" t="str">
        <x:f>IF(OR(S149="",I149="",I149&lt;=0),"",S149/I149)</x:f>
      </x:c>
      <x:c r="U149" s="38" t="str">
        <x:f>IF(OR(L149="",I149="",I149&lt;=0),"",L149/I149)</x:f>
      </x:c>
      <x:c r="V149" s="38" t="str">
        <x:f>IF(OR(M149="",I149="",I149&lt;=0),"",M149/I149)</x:f>
      </x:c>
      <x:c r="W149" s="38" t="str">
        <x:f>IF(OR(N149="",I149="",I149&lt;=0),"",N149/I149)</x:f>
      </x:c>
      <x:c r="X149" s="38" t="str">
        <x:f>IF(OR(O149="",F149="",F149&lt;=0),"",O149/F149)</x:f>
      </x:c>
      <x:c r="Y149" s="40" t="str">
        <x:f>IF(OR(A149="",B149=""),"",B149-A149)</x:f>
      </x:c>
      <x:c r="Z149" s="8" t="str">
        <x:f>IF(COUNTA(A149:R149)=0,"",IF(OR(A149="",B149="",C149="",G149="",H149=""),"INCOMPLETO",IF(B149&lt;A149,"DATA INVÁLIDA",IF(AND(G149="7d",OR(Y149&lt;7,Y149&gt;10)),"FORA DA JANELA",IF(AND(G149="30d",OR(Y149&lt;30,Y149&gt;35)),"FORA DA JANELA",IF(COUNTIFS($C$2:$C$201,C149,$G$2:$G$201,G149)&gt;1,"DUPLICADO","OK"))))))</x:f>
      </x:c>
      <x:c r="AA149" s="44" t="n">
        <x:f>IF(ISNUMBER(H149),1,0)</x:f>
        <x:v>0</x:v>
      </x:c>
      <x:c r="AB149" s="44" t="n">
        <x:f>IF(ISNUMBER(I149),1,0)</x:f>
        <x:v>0</x:v>
      </x:c>
      <x:c r="AC149" s="44" t="n">
        <x:f>IF(ISNUMBER(T149),1,0)</x:f>
        <x:v>0</x:v>
      </x:c>
      <x:c r="AD149" s="44" t="n">
        <x:f>IF(ISNUMBER(U149),1,0)</x:f>
        <x:v>0</x:v>
      </x:c>
      <x:c r="AE149" s="44" t="n">
        <x:f>IF(ISNUMBER(V149),1,0)</x:f>
        <x:v>0</x:v>
      </x:c>
      <x:c r="AF149" s="44" t="n">
        <x:f>IF(ISNUMBER(W149),1,0)</x:f>
        <x:v>0</x:v>
      </x:c>
      <x:c r="AG149" s="44" t="n">
        <x:f>IF(ISNUMBER(X149),1,0)</x:f>
        <x:v>0</x:v>
      </x:c>
      <x:c r="AH149" s="44" t="n">
        <x:f>IF(ISNUMBER(P149),1,0)</x:f>
        <x:v>0</x:v>
      </x:c>
      <x:c r="AI149" s="44" t="n">
        <x:f>IF(ISNUMBER(O149),1,0)</x:f>
        <x:v>0</x:v>
      </x:c>
    </x:row>
    <x:row r="150" ht="22" customHeight="1">
      <x:c r="A150" s="26"/>
      <x:c r="B150" s="26"/>
      <x:c r="C150" s="14"/>
      <x:c r="D150" s="14"/>
      <x:c r="E150" s="14"/>
      <x:c r="F150" s="28"/>
      <x:c r="G150" s="14"/>
      <x:c r="H150" s="30"/>
      <x:c r="I150" s="30"/>
      <x:c r="J150" s="30"/>
      <x:c r="K150" s="30"/>
      <x:c r="L150" s="30"/>
      <x:c r="M150" s="30"/>
      <x:c r="N150" s="30"/>
      <x:c r="O150" s="32"/>
      <x:c r="P150" s="34"/>
      <x:c r="Q150" s="14"/>
      <x:c r="R150" s="14"/>
      <x:c r="S150" s="36" t="str">
        <x:f>IF(COUNT(J150:M150)&lt;4,"",SUM(J150:M150))</x:f>
      </x:c>
      <x:c r="T150" s="38" t="str">
        <x:f>IF(OR(S150="",I150="",I150&lt;=0),"",S150/I150)</x:f>
      </x:c>
      <x:c r="U150" s="38" t="str">
        <x:f>IF(OR(L150="",I150="",I150&lt;=0),"",L150/I150)</x:f>
      </x:c>
      <x:c r="V150" s="38" t="str">
        <x:f>IF(OR(M150="",I150="",I150&lt;=0),"",M150/I150)</x:f>
      </x:c>
      <x:c r="W150" s="38" t="str">
        <x:f>IF(OR(N150="",I150="",I150&lt;=0),"",N150/I150)</x:f>
      </x:c>
      <x:c r="X150" s="38" t="str">
        <x:f>IF(OR(O150="",F150="",F150&lt;=0),"",O150/F150)</x:f>
      </x:c>
      <x:c r="Y150" s="40" t="str">
        <x:f>IF(OR(A150="",B150=""),"",B150-A150)</x:f>
      </x:c>
      <x:c r="Z150" s="8" t="str">
        <x:f>IF(COUNTA(A150:R150)=0,"",IF(OR(A150="",B150="",C150="",G150="",H150=""),"INCOMPLETO",IF(B150&lt;A150,"DATA INVÁLIDA",IF(AND(G150="7d",OR(Y150&lt;7,Y150&gt;10)),"FORA DA JANELA",IF(AND(G150="30d",OR(Y150&lt;30,Y150&gt;35)),"FORA DA JANELA",IF(COUNTIFS($C$2:$C$201,C150,$G$2:$G$201,G150)&gt;1,"DUPLICADO","OK"))))))</x:f>
      </x:c>
      <x:c r="AA150" s="44" t="n">
        <x:f>IF(ISNUMBER(H150),1,0)</x:f>
        <x:v>0</x:v>
      </x:c>
      <x:c r="AB150" s="44" t="n">
        <x:f>IF(ISNUMBER(I150),1,0)</x:f>
        <x:v>0</x:v>
      </x:c>
      <x:c r="AC150" s="44" t="n">
        <x:f>IF(ISNUMBER(T150),1,0)</x:f>
        <x:v>0</x:v>
      </x:c>
      <x:c r="AD150" s="44" t="n">
        <x:f>IF(ISNUMBER(U150),1,0)</x:f>
        <x:v>0</x:v>
      </x:c>
      <x:c r="AE150" s="44" t="n">
        <x:f>IF(ISNUMBER(V150),1,0)</x:f>
        <x:v>0</x:v>
      </x:c>
      <x:c r="AF150" s="44" t="n">
        <x:f>IF(ISNUMBER(W150),1,0)</x:f>
        <x:v>0</x:v>
      </x:c>
      <x:c r="AG150" s="44" t="n">
        <x:f>IF(ISNUMBER(X150),1,0)</x:f>
        <x:v>0</x:v>
      </x:c>
      <x:c r="AH150" s="44" t="n">
        <x:f>IF(ISNUMBER(P150),1,0)</x:f>
        <x:v>0</x:v>
      </x:c>
      <x:c r="AI150" s="44" t="n">
        <x:f>IF(ISNUMBER(O150),1,0)</x:f>
        <x:v>0</x:v>
      </x:c>
    </x:row>
    <x:row r="151" ht="22" customHeight="1">
      <x:c r="A151" s="26"/>
      <x:c r="B151" s="26"/>
      <x:c r="C151" s="14"/>
      <x:c r="D151" s="14"/>
      <x:c r="E151" s="14"/>
      <x:c r="F151" s="28"/>
      <x:c r="G151" s="14"/>
      <x:c r="H151" s="30"/>
      <x:c r="I151" s="30"/>
      <x:c r="J151" s="30"/>
      <x:c r="K151" s="30"/>
      <x:c r="L151" s="30"/>
      <x:c r="M151" s="30"/>
      <x:c r="N151" s="30"/>
      <x:c r="O151" s="32"/>
      <x:c r="P151" s="34"/>
      <x:c r="Q151" s="14"/>
      <x:c r="R151" s="14"/>
      <x:c r="S151" s="36" t="str">
        <x:f>IF(COUNT(J151:M151)&lt;4,"",SUM(J151:M151))</x:f>
      </x:c>
      <x:c r="T151" s="38" t="str">
        <x:f>IF(OR(S151="",I151="",I151&lt;=0),"",S151/I151)</x:f>
      </x:c>
      <x:c r="U151" s="38" t="str">
        <x:f>IF(OR(L151="",I151="",I151&lt;=0),"",L151/I151)</x:f>
      </x:c>
      <x:c r="V151" s="38" t="str">
        <x:f>IF(OR(M151="",I151="",I151&lt;=0),"",M151/I151)</x:f>
      </x:c>
      <x:c r="W151" s="38" t="str">
        <x:f>IF(OR(N151="",I151="",I151&lt;=0),"",N151/I151)</x:f>
      </x:c>
      <x:c r="X151" s="38" t="str">
        <x:f>IF(OR(O151="",F151="",F151&lt;=0),"",O151/F151)</x:f>
      </x:c>
      <x:c r="Y151" s="40" t="str">
        <x:f>IF(OR(A151="",B151=""),"",B151-A151)</x:f>
      </x:c>
      <x:c r="Z151" s="8" t="str">
        <x:f>IF(COUNTA(A151:R151)=0,"",IF(OR(A151="",B151="",C151="",G151="",H151=""),"INCOMPLETO",IF(B151&lt;A151,"DATA INVÁLIDA",IF(AND(G151="7d",OR(Y151&lt;7,Y151&gt;10)),"FORA DA JANELA",IF(AND(G151="30d",OR(Y151&lt;30,Y151&gt;35)),"FORA DA JANELA",IF(COUNTIFS($C$2:$C$201,C151,$G$2:$G$201,G151)&gt;1,"DUPLICADO","OK"))))))</x:f>
      </x:c>
      <x:c r="AA151" s="44" t="n">
        <x:f>IF(ISNUMBER(H151),1,0)</x:f>
        <x:v>0</x:v>
      </x:c>
      <x:c r="AB151" s="44" t="n">
        <x:f>IF(ISNUMBER(I151),1,0)</x:f>
        <x:v>0</x:v>
      </x:c>
      <x:c r="AC151" s="44" t="n">
        <x:f>IF(ISNUMBER(T151),1,0)</x:f>
        <x:v>0</x:v>
      </x:c>
      <x:c r="AD151" s="44" t="n">
        <x:f>IF(ISNUMBER(U151),1,0)</x:f>
        <x:v>0</x:v>
      </x:c>
      <x:c r="AE151" s="44" t="n">
        <x:f>IF(ISNUMBER(V151),1,0)</x:f>
        <x:v>0</x:v>
      </x:c>
      <x:c r="AF151" s="44" t="n">
        <x:f>IF(ISNUMBER(W151),1,0)</x:f>
        <x:v>0</x:v>
      </x:c>
      <x:c r="AG151" s="44" t="n">
        <x:f>IF(ISNUMBER(X151),1,0)</x:f>
        <x:v>0</x:v>
      </x:c>
      <x:c r="AH151" s="44" t="n">
        <x:f>IF(ISNUMBER(P151),1,0)</x:f>
        <x:v>0</x:v>
      </x:c>
      <x:c r="AI151" s="44" t="n">
        <x:f>IF(ISNUMBER(O151),1,0)</x:f>
        <x:v>0</x:v>
      </x:c>
    </x:row>
    <x:row r="152" ht="22" customHeight="1">
      <x:c r="A152" s="26"/>
      <x:c r="B152" s="26"/>
      <x:c r="C152" s="14"/>
      <x:c r="D152" s="14"/>
      <x:c r="E152" s="14"/>
      <x:c r="F152" s="28"/>
      <x:c r="G152" s="14"/>
      <x:c r="H152" s="30"/>
      <x:c r="I152" s="30"/>
      <x:c r="J152" s="30"/>
      <x:c r="K152" s="30"/>
      <x:c r="L152" s="30"/>
      <x:c r="M152" s="30"/>
      <x:c r="N152" s="30"/>
      <x:c r="O152" s="32"/>
      <x:c r="P152" s="34"/>
      <x:c r="Q152" s="14"/>
      <x:c r="R152" s="14"/>
      <x:c r="S152" s="36" t="str">
        <x:f>IF(COUNT(J152:M152)&lt;4,"",SUM(J152:M152))</x:f>
      </x:c>
      <x:c r="T152" s="38" t="str">
        <x:f>IF(OR(S152="",I152="",I152&lt;=0),"",S152/I152)</x:f>
      </x:c>
      <x:c r="U152" s="38" t="str">
        <x:f>IF(OR(L152="",I152="",I152&lt;=0),"",L152/I152)</x:f>
      </x:c>
      <x:c r="V152" s="38" t="str">
        <x:f>IF(OR(M152="",I152="",I152&lt;=0),"",M152/I152)</x:f>
      </x:c>
      <x:c r="W152" s="38" t="str">
        <x:f>IF(OR(N152="",I152="",I152&lt;=0),"",N152/I152)</x:f>
      </x:c>
      <x:c r="X152" s="38" t="str">
        <x:f>IF(OR(O152="",F152="",F152&lt;=0),"",O152/F152)</x:f>
      </x:c>
      <x:c r="Y152" s="40" t="str">
        <x:f>IF(OR(A152="",B152=""),"",B152-A152)</x:f>
      </x:c>
      <x:c r="Z152" s="8" t="str">
        <x:f>IF(COUNTA(A152:R152)=0,"",IF(OR(A152="",B152="",C152="",G152="",H152=""),"INCOMPLETO",IF(B152&lt;A152,"DATA INVÁLIDA",IF(AND(G152="7d",OR(Y152&lt;7,Y152&gt;10)),"FORA DA JANELA",IF(AND(G152="30d",OR(Y152&lt;30,Y152&gt;35)),"FORA DA JANELA",IF(COUNTIFS($C$2:$C$201,C152,$G$2:$G$201,G152)&gt;1,"DUPLICADO","OK"))))))</x:f>
      </x:c>
      <x:c r="AA152" s="44" t="n">
        <x:f>IF(ISNUMBER(H152),1,0)</x:f>
        <x:v>0</x:v>
      </x:c>
      <x:c r="AB152" s="44" t="n">
        <x:f>IF(ISNUMBER(I152),1,0)</x:f>
        <x:v>0</x:v>
      </x:c>
      <x:c r="AC152" s="44" t="n">
        <x:f>IF(ISNUMBER(T152),1,0)</x:f>
        <x:v>0</x:v>
      </x:c>
      <x:c r="AD152" s="44" t="n">
        <x:f>IF(ISNUMBER(U152),1,0)</x:f>
        <x:v>0</x:v>
      </x:c>
      <x:c r="AE152" s="44" t="n">
        <x:f>IF(ISNUMBER(V152),1,0)</x:f>
        <x:v>0</x:v>
      </x:c>
      <x:c r="AF152" s="44" t="n">
        <x:f>IF(ISNUMBER(W152),1,0)</x:f>
        <x:v>0</x:v>
      </x:c>
      <x:c r="AG152" s="44" t="n">
        <x:f>IF(ISNUMBER(X152),1,0)</x:f>
        <x:v>0</x:v>
      </x:c>
      <x:c r="AH152" s="44" t="n">
        <x:f>IF(ISNUMBER(P152),1,0)</x:f>
        <x:v>0</x:v>
      </x:c>
      <x:c r="AI152" s="44" t="n">
        <x:f>IF(ISNUMBER(O152),1,0)</x:f>
        <x:v>0</x:v>
      </x:c>
    </x:row>
    <x:row r="153" ht="22" customHeight="1">
      <x:c r="A153" s="26"/>
      <x:c r="B153" s="26"/>
      <x:c r="C153" s="14"/>
      <x:c r="D153" s="14"/>
      <x:c r="E153" s="14"/>
      <x:c r="F153" s="28"/>
      <x:c r="G153" s="14"/>
      <x:c r="H153" s="30"/>
      <x:c r="I153" s="30"/>
      <x:c r="J153" s="30"/>
      <x:c r="K153" s="30"/>
      <x:c r="L153" s="30"/>
      <x:c r="M153" s="30"/>
      <x:c r="N153" s="30"/>
      <x:c r="O153" s="32"/>
      <x:c r="P153" s="34"/>
      <x:c r="Q153" s="14"/>
      <x:c r="R153" s="14"/>
      <x:c r="S153" s="36" t="str">
        <x:f>IF(COUNT(J153:M153)&lt;4,"",SUM(J153:M153))</x:f>
      </x:c>
      <x:c r="T153" s="38" t="str">
        <x:f>IF(OR(S153="",I153="",I153&lt;=0),"",S153/I153)</x:f>
      </x:c>
      <x:c r="U153" s="38" t="str">
        <x:f>IF(OR(L153="",I153="",I153&lt;=0),"",L153/I153)</x:f>
      </x:c>
      <x:c r="V153" s="38" t="str">
        <x:f>IF(OR(M153="",I153="",I153&lt;=0),"",M153/I153)</x:f>
      </x:c>
      <x:c r="W153" s="38" t="str">
        <x:f>IF(OR(N153="",I153="",I153&lt;=0),"",N153/I153)</x:f>
      </x:c>
      <x:c r="X153" s="38" t="str">
        <x:f>IF(OR(O153="",F153="",F153&lt;=0),"",O153/F153)</x:f>
      </x:c>
      <x:c r="Y153" s="40" t="str">
        <x:f>IF(OR(A153="",B153=""),"",B153-A153)</x:f>
      </x:c>
      <x:c r="Z153" s="8" t="str">
        <x:f>IF(COUNTA(A153:R153)=0,"",IF(OR(A153="",B153="",C153="",G153="",H153=""),"INCOMPLETO",IF(B153&lt;A153,"DATA INVÁLIDA",IF(AND(G153="7d",OR(Y153&lt;7,Y153&gt;10)),"FORA DA JANELA",IF(AND(G153="30d",OR(Y153&lt;30,Y153&gt;35)),"FORA DA JANELA",IF(COUNTIFS($C$2:$C$201,C153,$G$2:$G$201,G153)&gt;1,"DUPLICADO","OK"))))))</x:f>
      </x:c>
      <x:c r="AA153" s="44" t="n">
        <x:f>IF(ISNUMBER(H153),1,0)</x:f>
        <x:v>0</x:v>
      </x:c>
      <x:c r="AB153" s="44" t="n">
        <x:f>IF(ISNUMBER(I153),1,0)</x:f>
        <x:v>0</x:v>
      </x:c>
      <x:c r="AC153" s="44" t="n">
        <x:f>IF(ISNUMBER(T153),1,0)</x:f>
        <x:v>0</x:v>
      </x:c>
      <x:c r="AD153" s="44" t="n">
        <x:f>IF(ISNUMBER(U153),1,0)</x:f>
        <x:v>0</x:v>
      </x:c>
      <x:c r="AE153" s="44" t="n">
        <x:f>IF(ISNUMBER(V153),1,0)</x:f>
        <x:v>0</x:v>
      </x:c>
      <x:c r="AF153" s="44" t="n">
        <x:f>IF(ISNUMBER(W153),1,0)</x:f>
        <x:v>0</x:v>
      </x:c>
      <x:c r="AG153" s="44" t="n">
        <x:f>IF(ISNUMBER(X153),1,0)</x:f>
        <x:v>0</x:v>
      </x:c>
      <x:c r="AH153" s="44" t="n">
        <x:f>IF(ISNUMBER(P153),1,0)</x:f>
        <x:v>0</x:v>
      </x:c>
      <x:c r="AI153" s="44" t="n">
        <x:f>IF(ISNUMBER(O153),1,0)</x:f>
        <x:v>0</x:v>
      </x:c>
    </x:row>
    <x:row r="154" ht="22" customHeight="1">
      <x:c r="A154" s="26"/>
      <x:c r="B154" s="26"/>
      <x:c r="C154" s="14"/>
      <x:c r="D154" s="14"/>
      <x:c r="E154" s="14"/>
      <x:c r="F154" s="28"/>
      <x:c r="G154" s="14"/>
      <x:c r="H154" s="30"/>
      <x:c r="I154" s="30"/>
      <x:c r="J154" s="30"/>
      <x:c r="K154" s="30"/>
      <x:c r="L154" s="30"/>
      <x:c r="M154" s="30"/>
      <x:c r="N154" s="30"/>
      <x:c r="O154" s="32"/>
      <x:c r="P154" s="34"/>
      <x:c r="Q154" s="14"/>
      <x:c r="R154" s="14"/>
      <x:c r="S154" s="36" t="str">
        <x:f>IF(COUNT(J154:M154)&lt;4,"",SUM(J154:M154))</x:f>
      </x:c>
      <x:c r="T154" s="38" t="str">
        <x:f>IF(OR(S154="",I154="",I154&lt;=0),"",S154/I154)</x:f>
      </x:c>
      <x:c r="U154" s="38" t="str">
        <x:f>IF(OR(L154="",I154="",I154&lt;=0),"",L154/I154)</x:f>
      </x:c>
      <x:c r="V154" s="38" t="str">
        <x:f>IF(OR(M154="",I154="",I154&lt;=0),"",M154/I154)</x:f>
      </x:c>
      <x:c r="W154" s="38" t="str">
        <x:f>IF(OR(N154="",I154="",I154&lt;=0),"",N154/I154)</x:f>
      </x:c>
      <x:c r="X154" s="38" t="str">
        <x:f>IF(OR(O154="",F154="",F154&lt;=0),"",O154/F154)</x:f>
      </x:c>
      <x:c r="Y154" s="40" t="str">
        <x:f>IF(OR(A154="",B154=""),"",B154-A154)</x:f>
      </x:c>
      <x:c r="Z154" s="8" t="str">
        <x:f>IF(COUNTA(A154:R154)=0,"",IF(OR(A154="",B154="",C154="",G154="",H154=""),"INCOMPLETO",IF(B154&lt;A154,"DATA INVÁLIDA",IF(AND(G154="7d",OR(Y154&lt;7,Y154&gt;10)),"FORA DA JANELA",IF(AND(G154="30d",OR(Y154&lt;30,Y154&gt;35)),"FORA DA JANELA",IF(COUNTIFS($C$2:$C$201,C154,$G$2:$G$201,G154)&gt;1,"DUPLICADO","OK"))))))</x:f>
      </x:c>
      <x:c r="AA154" s="44" t="n">
        <x:f>IF(ISNUMBER(H154),1,0)</x:f>
        <x:v>0</x:v>
      </x:c>
      <x:c r="AB154" s="44" t="n">
        <x:f>IF(ISNUMBER(I154),1,0)</x:f>
        <x:v>0</x:v>
      </x:c>
      <x:c r="AC154" s="44" t="n">
        <x:f>IF(ISNUMBER(T154),1,0)</x:f>
        <x:v>0</x:v>
      </x:c>
      <x:c r="AD154" s="44" t="n">
        <x:f>IF(ISNUMBER(U154),1,0)</x:f>
        <x:v>0</x:v>
      </x:c>
      <x:c r="AE154" s="44" t="n">
        <x:f>IF(ISNUMBER(V154),1,0)</x:f>
        <x:v>0</x:v>
      </x:c>
      <x:c r="AF154" s="44" t="n">
        <x:f>IF(ISNUMBER(W154),1,0)</x:f>
        <x:v>0</x:v>
      </x:c>
      <x:c r="AG154" s="44" t="n">
        <x:f>IF(ISNUMBER(X154),1,0)</x:f>
        <x:v>0</x:v>
      </x:c>
      <x:c r="AH154" s="44" t="n">
        <x:f>IF(ISNUMBER(P154),1,0)</x:f>
        <x:v>0</x:v>
      </x:c>
      <x:c r="AI154" s="44" t="n">
        <x:f>IF(ISNUMBER(O154),1,0)</x:f>
        <x:v>0</x:v>
      </x:c>
    </x:row>
    <x:row r="155" ht="22" customHeight="1">
      <x:c r="A155" s="26"/>
      <x:c r="B155" s="26"/>
      <x:c r="C155" s="14"/>
      <x:c r="D155" s="14"/>
      <x:c r="E155" s="14"/>
      <x:c r="F155" s="28"/>
      <x:c r="G155" s="14"/>
      <x:c r="H155" s="30"/>
      <x:c r="I155" s="30"/>
      <x:c r="J155" s="30"/>
      <x:c r="K155" s="30"/>
      <x:c r="L155" s="30"/>
      <x:c r="M155" s="30"/>
      <x:c r="N155" s="30"/>
      <x:c r="O155" s="32"/>
      <x:c r="P155" s="34"/>
      <x:c r="Q155" s="14"/>
      <x:c r="R155" s="14"/>
      <x:c r="S155" s="36" t="str">
        <x:f>IF(COUNT(J155:M155)&lt;4,"",SUM(J155:M155))</x:f>
      </x:c>
      <x:c r="T155" s="38" t="str">
        <x:f>IF(OR(S155="",I155="",I155&lt;=0),"",S155/I155)</x:f>
      </x:c>
      <x:c r="U155" s="38" t="str">
        <x:f>IF(OR(L155="",I155="",I155&lt;=0),"",L155/I155)</x:f>
      </x:c>
      <x:c r="V155" s="38" t="str">
        <x:f>IF(OR(M155="",I155="",I155&lt;=0),"",M155/I155)</x:f>
      </x:c>
      <x:c r="W155" s="38" t="str">
        <x:f>IF(OR(N155="",I155="",I155&lt;=0),"",N155/I155)</x:f>
      </x:c>
      <x:c r="X155" s="38" t="str">
        <x:f>IF(OR(O155="",F155="",F155&lt;=0),"",O155/F155)</x:f>
      </x:c>
      <x:c r="Y155" s="40" t="str">
        <x:f>IF(OR(A155="",B155=""),"",B155-A155)</x:f>
      </x:c>
      <x:c r="Z155" s="8" t="str">
        <x:f>IF(COUNTA(A155:R155)=0,"",IF(OR(A155="",B155="",C155="",G155="",H155=""),"INCOMPLETO",IF(B155&lt;A155,"DATA INVÁLIDA",IF(AND(G155="7d",OR(Y155&lt;7,Y155&gt;10)),"FORA DA JANELA",IF(AND(G155="30d",OR(Y155&lt;30,Y155&gt;35)),"FORA DA JANELA",IF(COUNTIFS($C$2:$C$201,C155,$G$2:$G$201,G155)&gt;1,"DUPLICADO","OK"))))))</x:f>
      </x:c>
      <x:c r="AA155" s="44" t="n">
        <x:f>IF(ISNUMBER(H155),1,0)</x:f>
        <x:v>0</x:v>
      </x:c>
      <x:c r="AB155" s="44" t="n">
        <x:f>IF(ISNUMBER(I155),1,0)</x:f>
        <x:v>0</x:v>
      </x:c>
      <x:c r="AC155" s="44" t="n">
        <x:f>IF(ISNUMBER(T155),1,0)</x:f>
        <x:v>0</x:v>
      </x:c>
      <x:c r="AD155" s="44" t="n">
        <x:f>IF(ISNUMBER(U155),1,0)</x:f>
        <x:v>0</x:v>
      </x:c>
      <x:c r="AE155" s="44" t="n">
        <x:f>IF(ISNUMBER(V155),1,0)</x:f>
        <x:v>0</x:v>
      </x:c>
      <x:c r="AF155" s="44" t="n">
        <x:f>IF(ISNUMBER(W155),1,0)</x:f>
        <x:v>0</x:v>
      </x:c>
      <x:c r="AG155" s="44" t="n">
        <x:f>IF(ISNUMBER(X155),1,0)</x:f>
        <x:v>0</x:v>
      </x:c>
      <x:c r="AH155" s="44" t="n">
        <x:f>IF(ISNUMBER(P155),1,0)</x:f>
        <x:v>0</x:v>
      </x:c>
      <x:c r="AI155" s="44" t="n">
        <x:f>IF(ISNUMBER(O155),1,0)</x:f>
        <x:v>0</x:v>
      </x:c>
    </x:row>
    <x:row r="156" ht="22" customHeight="1">
      <x:c r="A156" s="26"/>
      <x:c r="B156" s="26"/>
      <x:c r="C156" s="14"/>
      <x:c r="D156" s="14"/>
      <x:c r="E156" s="14"/>
      <x:c r="F156" s="28"/>
      <x:c r="G156" s="14"/>
      <x:c r="H156" s="30"/>
      <x:c r="I156" s="30"/>
      <x:c r="J156" s="30"/>
      <x:c r="K156" s="30"/>
      <x:c r="L156" s="30"/>
      <x:c r="M156" s="30"/>
      <x:c r="N156" s="30"/>
      <x:c r="O156" s="32"/>
      <x:c r="P156" s="34"/>
      <x:c r="Q156" s="14"/>
      <x:c r="R156" s="14"/>
      <x:c r="S156" s="36" t="str">
        <x:f>IF(COUNT(J156:M156)&lt;4,"",SUM(J156:M156))</x:f>
      </x:c>
      <x:c r="T156" s="38" t="str">
        <x:f>IF(OR(S156="",I156="",I156&lt;=0),"",S156/I156)</x:f>
      </x:c>
      <x:c r="U156" s="38" t="str">
        <x:f>IF(OR(L156="",I156="",I156&lt;=0),"",L156/I156)</x:f>
      </x:c>
      <x:c r="V156" s="38" t="str">
        <x:f>IF(OR(M156="",I156="",I156&lt;=0),"",M156/I156)</x:f>
      </x:c>
      <x:c r="W156" s="38" t="str">
        <x:f>IF(OR(N156="",I156="",I156&lt;=0),"",N156/I156)</x:f>
      </x:c>
      <x:c r="X156" s="38" t="str">
        <x:f>IF(OR(O156="",F156="",F156&lt;=0),"",O156/F156)</x:f>
      </x:c>
      <x:c r="Y156" s="40" t="str">
        <x:f>IF(OR(A156="",B156=""),"",B156-A156)</x:f>
      </x:c>
      <x:c r="Z156" s="8" t="str">
        <x:f>IF(COUNTA(A156:R156)=0,"",IF(OR(A156="",B156="",C156="",G156="",H156=""),"INCOMPLETO",IF(B156&lt;A156,"DATA INVÁLIDA",IF(AND(G156="7d",OR(Y156&lt;7,Y156&gt;10)),"FORA DA JANELA",IF(AND(G156="30d",OR(Y156&lt;30,Y156&gt;35)),"FORA DA JANELA",IF(COUNTIFS($C$2:$C$201,C156,$G$2:$G$201,G156)&gt;1,"DUPLICADO","OK"))))))</x:f>
      </x:c>
      <x:c r="AA156" s="44" t="n">
        <x:f>IF(ISNUMBER(H156),1,0)</x:f>
        <x:v>0</x:v>
      </x:c>
      <x:c r="AB156" s="44" t="n">
        <x:f>IF(ISNUMBER(I156),1,0)</x:f>
        <x:v>0</x:v>
      </x:c>
      <x:c r="AC156" s="44" t="n">
        <x:f>IF(ISNUMBER(T156),1,0)</x:f>
        <x:v>0</x:v>
      </x:c>
      <x:c r="AD156" s="44" t="n">
        <x:f>IF(ISNUMBER(U156),1,0)</x:f>
        <x:v>0</x:v>
      </x:c>
      <x:c r="AE156" s="44" t="n">
        <x:f>IF(ISNUMBER(V156),1,0)</x:f>
        <x:v>0</x:v>
      </x:c>
      <x:c r="AF156" s="44" t="n">
        <x:f>IF(ISNUMBER(W156),1,0)</x:f>
        <x:v>0</x:v>
      </x:c>
      <x:c r="AG156" s="44" t="n">
        <x:f>IF(ISNUMBER(X156),1,0)</x:f>
        <x:v>0</x:v>
      </x:c>
      <x:c r="AH156" s="44" t="n">
        <x:f>IF(ISNUMBER(P156),1,0)</x:f>
        <x:v>0</x:v>
      </x:c>
      <x:c r="AI156" s="44" t="n">
        <x:f>IF(ISNUMBER(O156),1,0)</x:f>
        <x:v>0</x:v>
      </x:c>
    </x:row>
    <x:row r="157" ht="22" customHeight="1">
      <x:c r="A157" s="26"/>
      <x:c r="B157" s="26"/>
      <x:c r="C157" s="14"/>
      <x:c r="D157" s="14"/>
      <x:c r="E157" s="14"/>
      <x:c r="F157" s="28"/>
      <x:c r="G157" s="14"/>
      <x:c r="H157" s="30"/>
      <x:c r="I157" s="30"/>
      <x:c r="J157" s="30"/>
      <x:c r="K157" s="30"/>
      <x:c r="L157" s="30"/>
      <x:c r="M157" s="30"/>
      <x:c r="N157" s="30"/>
      <x:c r="O157" s="32"/>
      <x:c r="P157" s="34"/>
      <x:c r="Q157" s="14"/>
      <x:c r="R157" s="14"/>
      <x:c r="S157" s="36" t="str">
        <x:f>IF(COUNT(J157:M157)&lt;4,"",SUM(J157:M157))</x:f>
      </x:c>
      <x:c r="T157" s="38" t="str">
        <x:f>IF(OR(S157="",I157="",I157&lt;=0),"",S157/I157)</x:f>
      </x:c>
      <x:c r="U157" s="38" t="str">
        <x:f>IF(OR(L157="",I157="",I157&lt;=0),"",L157/I157)</x:f>
      </x:c>
      <x:c r="V157" s="38" t="str">
        <x:f>IF(OR(M157="",I157="",I157&lt;=0),"",M157/I157)</x:f>
      </x:c>
      <x:c r="W157" s="38" t="str">
        <x:f>IF(OR(N157="",I157="",I157&lt;=0),"",N157/I157)</x:f>
      </x:c>
      <x:c r="X157" s="38" t="str">
        <x:f>IF(OR(O157="",F157="",F157&lt;=0),"",O157/F157)</x:f>
      </x:c>
      <x:c r="Y157" s="40" t="str">
        <x:f>IF(OR(A157="",B157=""),"",B157-A157)</x:f>
      </x:c>
      <x:c r="Z157" s="8" t="str">
        <x:f>IF(COUNTA(A157:R157)=0,"",IF(OR(A157="",B157="",C157="",G157="",H157=""),"INCOMPLETO",IF(B157&lt;A157,"DATA INVÁLIDA",IF(AND(G157="7d",OR(Y157&lt;7,Y157&gt;10)),"FORA DA JANELA",IF(AND(G157="30d",OR(Y157&lt;30,Y157&gt;35)),"FORA DA JANELA",IF(COUNTIFS($C$2:$C$201,C157,$G$2:$G$201,G157)&gt;1,"DUPLICADO","OK"))))))</x:f>
      </x:c>
      <x:c r="AA157" s="44" t="n">
        <x:f>IF(ISNUMBER(H157),1,0)</x:f>
        <x:v>0</x:v>
      </x:c>
      <x:c r="AB157" s="44" t="n">
        <x:f>IF(ISNUMBER(I157),1,0)</x:f>
        <x:v>0</x:v>
      </x:c>
      <x:c r="AC157" s="44" t="n">
        <x:f>IF(ISNUMBER(T157),1,0)</x:f>
        <x:v>0</x:v>
      </x:c>
      <x:c r="AD157" s="44" t="n">
        <x:f>IF(ISNUMBER(U157),1,0)</x:f>
        <x:v>0</x:v>
      </x:c>
      <x:c r="AE157" s="44" t="n">
        <x:f>IF(ISNUMBER(V157),1,0)</x:f>
        <x:v>0</x:v>
      </x:c>
      <x:c r="AF157" s="44" t="n">
        <x:f>IF(ISNUMBER(W157),1,0)</x:f>
        <x:v>0</x:v>
      </x:c>
      <x:c r="AG157" s="44" t="n">
        <x:f>IF(ISNUMBER(X157),1,0)</x:f>
        <x:v>0</x:v>
      </x:c>
      <x:c r="AH157" s="44" t="n">
        <x:f>IF(ISNUMBER(P157),1,0)</x:f>
        <x:v>0</x:v>
      </x:c>
      <x:c r="AI157" s="44" t="n">
        <x:f>IF(ISNUMBER(O157),1,0)</x:f>
        <x:v>0</x:v>
      </x:c>
    </x:row>
    <x:row r="158" ht="22" customHeight="1">
      <x:c r="A158" s="26"/>
      <x:c r="B158" s="26"/>
      <x:c r="C158" s="14"/>
      <x:c r="D158" s="14"/>
      <x:c r="E158" s="14"/>
      <x:c r="F158" s="28"/>
      <x:c r="G158" s="14"/>
      <x:c r="H158" s="30"/>
      <x:c r="I158" s="30"/>
      <x:c r="J158" s="30"/>
      <x:c r="K158" s="30"/>
      <x:c r="L158" s="30"/>
      <x:c r="M158" s="30"/>
      <x:c r="N158" s="30"/>
      <x:c r="O158" s="32"/>
      <x:c r="P158" s="34"/>
      <x:c r="Q158" s="14"/>
      <x:c r="R158" s="14"/>
      <x:c r="S158" s="36" t="str">
        <x:f>IF(COUNT(J158:M158)&lt;4,"",SUM(J158:M158))</x:f>
      </x:c>
      <x:c r="T158" s="38" t="str">
        <x:f>IF(OR(S158="",I158="",I158&lt;=0),"",S158/I158)</x:f>
      </x:c>
      <x:c r="U158" s="38" t="str">
        <x:f>IF(OR(L158="",I158="",I158&lt;=0),"",L158/I158)</x:f>
      </x:c>
      <x:c r="V158" s="38" t="str">
        <x:f>IF(OR(M158="",I158="",I158&lt;=0),"",M158/I158)</x:f>
      </x:c>
      <x:c r="W158" s="38" t="str">
        <x:f>IF(OR(N158="",I158="",I158&lt;=0),"",N158/I158)</x:f>
      </x:c>
      <x:c r="X158" s="38" t="str">
        <x:f>IF(OR(O158="",F158="",F158&lt;=0),"",O158/F158)</x:f>
      </x:c>
      <x:c r="Y158" s="40" t="str">
        <x:f>IF(OR(A158="",B158=""),"",B158-A158)</x:f>
      </x:c>
      <x:c r="Z158" s="8" t="str">
        <x:f>IF(COUNTA(A158:R158)=0,"",IF(OR(A158="",B158="",C158="",G158="",H158=""),"INCOMPLETO",IF(B158&lt;A158,"DATA INVÁLIDA",IF(AND(G158="7d",OR(Y158&lt;7,Y158&gt;10)),"FORA DA JANELA",IF(AND(G158="30d",OR(Y158&lt;30,Y158&gt;35)),"FORA DA JANELA",IF(COUNTIFS($C$2:$C$201,C158,$G$2:$G$201,G158)&gt;1,"DUPLICADO","OK"))))))</x:f>
      </x:c>
      <x:c r="AA158" s="44" t="n">
        <x:f>IF(ISNUMBER(H158),1,0)</x:f>
        <x:v>0</x:v>
      </x:c>
      <x:c r="AB158" s="44" t="n">
        <x:f>IF(ISNUMBER(I158),1,0)</x:f>
        <x:v>0</x:v>
      </x:c>
      <x:c r="AC158" s="44" t="n">
        <x:f>IF(ISNUMBER(T158),1,0)</x:f>
        <x:v>0</x:v>
      </x:c>
      <x:c r="AD158" s="44" t="n">
        <x:f>IF(ISNUMBER(U158),1,0)</x:f>
        <x:v>0</x:v>
      </x:c>
      <x:c r="AE158" s="44" t="n">
        <x:f>IF(ISNUMBER(V158),1,0)</x:f>
        <x:v>0</x:v>
      </x:c>
      <x:c r="AF158" s="44" t="n">
        <x:f>IF(ISNUMBER(W158),1,0)</x:f>
        <x:v>0</x:v>
      </x:c>
      <x:c r="AG158" s="44" t="n">
        <x:f>IF(ISNUMBER(X158),1,0)</x:f>
        <x:v>0</x:v>
      </x:c>
      <x:c r="AH158" s="44" t="n">
        <x:f>IF(ISNUMBER(P158),1,0)</x:f>
        <x:v>0</x:v>
      </x:c>
      <x:c r="AI158" s="44" t="n">
        <x:f>IF(ISNUMBER(O158),1,0)</x:f>
        <x:v>0</x:v>
      </x:c>
    </x:row>
    <x:row r="159" ht="22" customHeight="1">
      <x:c r="A159" s="26"/>
      <x:c r="B159" s="26"/>
      <x:c r="C159" s="14"/>
      <x:c r="D159" s="14"/>
      <x:c r="E159" s="14"/>
      <x:c r="F159" s="28"/>
      <x:c r="G159" s="14"/>
      <x:c r="H159" s="30"/>
      <x:c r="I159" s="30"/>
      <x:c r="J159" s="30"/>
      <x:c r="K159" s="30"/>
      <x:c r="L159" s="30"/>
      <x:c r="M159" s="30"/>
      <x:c r="N159" s="30"/>
      <x:c r="O159" s="32"/>
      <x:c r="P159" s="34"/>
      <x:c r="Q159" s="14"/>
      <x:c r="R159" s="14"/>
      <x:c r="S159" s="36" t="str">
        <x:f>IF(COUNT(J159:M159)&lt;4,"",SUM(J159:M159))</x:f>
      </x:c>
      <x:c r="T159" s="38" t="str">
        <x:f>IF(OR(S159="",I159="",I159&lt;=0),"",S159/I159)</x:f>
      </x:c>
      <x:c r="U159" s="38" t="str">
        <x:f>IF(OR(L159="",I159="",I159&lt;=0),"",L159/I159)</x:f>
      </x:c>
      <x:c r="V159" s="38" t="str">
        <x:f>IF(OR(M159="",I159="",I159&lt;=0),"",M159/I159)</x:f>
      </x:c>
      <x:c r="W159" s="38" t="str">
        <x:f>IF(OR(N159="",I159="",I159&lt;=0),"",N159/I159)</x:f>
      </x:c>
      <x:c r="X159" s="38" t="str">
        <x:f>IF(OR(O159="",F159="",F159&lt;=0),"",O159/F159)</x:f>
      </x:c>
      <x:c r="Y159" s="40" t="str">
        <x:f>IF(OR(A159="",B159=""),"",B159-A159)</x:f>
      </x:c>
      <x:c r="Z159" s="8" t="str">
        <x:f>IF(COUNTA(A159:R159)=0,"",IF(OR(A159="",B159="",C159="",G159="",H159=""),"INCOMPLETO",IF(B159&lt;A159,"DATA INVÁLIDA",IF(AND(G159="7d",OR(Y159&lt;7,Y159&gt;10)),"FORA DA JANELA",IF(AND(G159="30d",OR(Y159&lt;30,Y159&gt;35)),"FORA DA JANELA",IF(COUNTIFS($C$2:$C$201,C159,$G$2:$G$201,G159)&gt;1,"DUPLICADO","OK"))))))</x:f>
      </x:c>
      <x:c r="AA159" s="44" t="n">
        <x:f>IF(ISNUMBER(H159),1,0)</x:f>
        <x:v>0</x:v>
      </x:c>
      <x:c r="AB159" s="44" t="n">
        <x:f>IF(ISNUMBER(I159),1,0)</x:f>
        <x:v>0</x:v>
      </x:c>
      <x:c r="AC159" s="44" t="n">
        <x:f>IF(ISNUMBER(T159),1,0)</x:f>
        <x:v>0</x:v>
      </x:c>
      <x:c r="AD159" s="44" t="n">
        <x:f>IF(ISNUMBER(U159),1,0)</x:f>
        <x:v>0</x:v>
      </x:c>
      <x:c r="AE159" s="44" t="n">
        <x:f>IF(ISNUMBER(V159),1,0)</x:f>
        <x:v>0</x:v>
      </x:c>
      <x:c r="AF159" s="44" t="n">
        <x:f>IF(ISNUMBER(W159),1,0)</x:f>
        <x:v>0</x:v>
      </x:c>
      <x:c r="AG159" s="44" t="n">
        <x:f>IF(ISNUMBER(X159),1,0)</x:f>
        <x:v>0</x:v>
      </x:c>
      <x:c r="AH159" s="44" t="n">
        <x:f>IF(ISNUMBER(P159),1,0)</x:f>
        <x:v>0</x:v>
      </x:c>
      <x:c r="AI159" s="44" t="n">
        <x:f>IF(ISNUMBER(O159),1,0)</x:f>
        <x:v>0</x:v>
      </x:c>
    </x:row>
    <x:row r="160" ht="22" customHeight="1">
      <x:c r="A160" s="26"/>
      <x:c r="B160" s="26"/>
      <x:c r="C160" s="14"/>
      <x:c r="D160" s="14"/>
      <x:c r="E160" s="14"/>
      <x:c r="F160" s="28"/>
      <x:c r="G160" s="14"/>
      <x:c r="H160" s="30"/>
      <x:c r="I160" s="30"/>
      <x:c r="J160" s="30"/>
      <x:c r="K160" s="30"/>
      <x:c r="L160" s="30"/>
      <x:c r="M160" s="30"/>
      <x:c r="N160" s="30"/>
      <x:c r="O160" s="32"/>
      <x:c r="P160" s="34"/>
      <x:c r="Q160" s="14"/>
      <x:c r="R160" s="14"/>
      <x:c r="S160" s="36" t="str">
        <x:f>IF(COUNT(J160:M160)&lt;4,"",SUM(J160:M160))</x:f>
      </x:c>
      <x:c r="T160" s="38" t="str">
        <x:f>IF(OR(S160="",I160="",I160&lt;=0),"",S160/I160)</x:f>
      </x:c>
      <x:c r="U160" s="38" t="str">
        <x:f>IF(OR(L160="",I160="",I160&lt;=0),"",L160/I160)</x:f>
      </x:c>
      <x:c r="V160" s="38" t="str">
        <x:f>IF(OR(M160="",I160="",I160&lt;=0),"",M160/I160)</x:f>
      </x:c>
      <x:c r="W160" s="38" t="str">
        <x:f>IF(OR(N160="",I160="",I160&lt;=0),"",N160/I160)</x:f>
      </x:c>
      <x:c r="X160" s="38" t="str">
        <x:f>IF(OR(O160="",F160="",F160&lt;=0),"",O160/F160)</x:f>
      </x:c>
      <x:c r="Y160" s="40" t="str">
        <x:f>IF(OR(A160="",B160=""),"",B160-A160)</x:f>
      </x:c>
      <x:c r="Z160" s="8" t="str">
        <x:f>IF(COUNTA(A160:R160)=0,"",IF(OR(A160="",B160="",C160="",G160="",H160=""),"INCOMPLETO",IF(B160&lt;A160,"DATA INVÁLIDA",IF(AND(G160="7d",OR(Y160&lt;7,Y160&gt;10)),"FORA DA JANELA",IF(AND(G160="30d",OR(Y160&lt;30,Y160&gt;35)),"FORA DA JANELA",IF(COUNTIFS($C$2:$C$201,C160,$G$2:$G$201,G160)&gt;1,"DUPLICADO","OK"))))))</x:f>
      </x:c>
      <x:c r="AA160" s="44" t="n">
        <x:f>IF(ISNUMBER(H160),1,0)</x:f>
        <x:v>0</x:v>
      </x:c>
      <x:c r="AB160" s="44" t="n">
        <x:f>IF(ISNUMBER(I160),1,0)</x:f>
        <x:v>0</x:v>
      </x:c>
      <x:c r="AC160" s="44" t="n">
        <x:f>IF(ISNUMBER(T160),1,0)</x:f>
        <x:v>0</x:v>
      </x:c>
      <x:c r="AD160" s="44" t="n">
        <x:f>IF(ISNUMBER(U160),1,0)</x:f>
        <x:v>0</x:v>
      </x:c>
      <x:c r="AE160" s="44" t="n">
        <x:f>IF(ISNUMBER(V160),1,0)</x:f>
        <x:v>0</x:v>
      </x:c>
      <x:c r="AF160" s="44" t="n">
        <x:f>IF(ISNUMBER(W160),1,0)</x:f>
        <x:v>0</x:v>
      </x:c>
      <x:c r="AG160" s="44" t="n">
        <x:f>IF(ISNUMBER(X160),1,0)</x:f>
        <x:v>0</x:v>
      </x:c>
      <x:c r="AH160" s="44" t="n">
        <x:f>IF(ISNUMBER(P160),1,0)</x:f>
        <x:v>0</x:v>
      </x:c>
      <x:c r="AI160" s="44" t="n">
        <x:f>IF(ISNUMBER(O160),1,0)</x:f>
        <x:v>0</x:v>
      </x:c>
    </x:row>
    <x:row r="161" ht="22" customHeight="1">
      <x:c r="A161" s="26"/>
      <x:c r="B161" s="26"/>
      <x:c r="C161" s="14"/>
      <x:c r="D161" s="14"/>
      <x:c r="E161" s="14"/>
      <x:c r="F161" s="28"/>
      <x:c r="G161" s="14"/>
      <x:c r="H161" s="30"/>
      <x:c r="I161" s="30"/>
      <x:c r="J161" s="30"/>
      <x:c r="K161" s="30"/>
      <x:c r="L161" s="30"/>
      <x:c r="M161" s="30"/>
      <x:c r="N161" s="30"/>
      <x:c r="O161" s="32"/>
      <x:c r="P161" s="34"/>
      <x:c r="Q161" s="14"/>
      <x:c r="R161" s="14"/>
      <x:c r="S161" s="36" t="str">
        <x:f>IF(COUNT(J161:M161)&lt;4,"",SUM(J161:M161))</x:f>
      </x:c>
      <x:c r="T161" s="38" t="str">
        <x:f>IF(OR(S161="",I161="",I161&lt;=0),"",S161/I161)</x:f>
      </x:c>
      <x:c r="U161" s="38" t="str">
        <x:f>IF(OR(L161="",I161="",I161&lt;=0),"",L161/I161)</x:f>
      </x:c>
      <x:c r="V161" s="38" t="str">
        <x:f>IF(OR(M161="",I161="",I161&lt;=0),"",M161/I161)</x:f>
      </x:c>
      <x:c r="W161" s="38" t="str">
        <x:f>IF(OR(N161="",I161="",I161&lt;=0),"",N161/I161)</x:f>
      </x:c>
      <x:c r="X161" s="38" t="str">
        <x:f>IF(OR(O161="",F161="",F161&lt;=0),"",O161/F161)</x:f>
      </x:c>
      <x:c r="Y161" s="40" t="str">
        <x:f>IF(OR(A161="",B161=""),"",B161-A161)</x:f>
      </x:c>
      <x:c r="Z161" s="8" t="str">
        <x:f>IF(COUNTA(A161:R161)=0,"",IF(OR(A161="",B161="",C161="",G161="",H161=""),"INCOMPLETO",IF(B161&lt;A161,"DATA INVÁLIDA",IF(AND(G161="7d",OR(Y161&lt;7,Y161&gt;10)),"FORA DA JANELA",IF(AND(G161="30d",OR(Y161&lt;30,Y161&gt;35)),"FORA DA JANELA",IF(COUNTIFS($C$2:$C$201,C161,$G$2:$G$201,G161)&gt;1,"DUPLICADO","OK"))))))</x:f>
      </x:c>
      <x:c r="AA161" s="44" t="n">
        <x:f>IF(ISNUMBER(H161),1,0)</x:f>
        <x:v>0</x:v>
      </x:c>
      <x:c r="AB161" s="44" t="n">
        <x:f>IF(ISNUMBER(I161),1,0)</x:f>
        <x:v>0</x:v>
      </x:c>
      <x:c r="AC161" s="44" t="n">
        <x:f>IF(ISNUMBER(T161),1,0)</x:f>
        <x:v>0</x:v>
      </x:c>
      <x:c r="AD161" s="44" t="n">
        <x:f>IF(ISNUMBER(U161),1,0)</x:f>
        <x:v>0</x:v>
      </x:c>
      <x:c r="AE161" s="44" t="n">
        <x:f>IF(ISNUMBER(V161),1,0)</x:f>
        <x:v>0</x:v>
      </x:c>
      <x:c r="AF161" s="44" t="n">
        <x:f>IF(ISNUMBER(W161),1,0)</x:f>
        <x:v>0</x:v>
      </x:c>
      <x:c r="AG161" s="44" t="n">
        <x:f>IF(ISNUMBER(X161),1,0)</x:f>
        <x:v>0</x:v>
      </x:c>
      <x:c r="AH161" s="44" t="n">
        <x:f>IF(ISNUMBER(P161),1,0)</x:f>
        <x:v>0</x:v>
      </x:c>
      <x:c r="AI161" s="44" t="n">
        <x:f>IF(ISNUMBER(O161),1,0)</x:f>
        <x:v>0</x:v>
      </x:c>
    </x:row>
    <x:row r="162" ht="22" customHeight="1">
      <x:c r="A162" s="26"/>
      <x:c r="B162" s="26"/>
      <x:c r="C162" s="14"/>
      <x:c r="D162" s="14"/>
      <x:c r="E162" s="14"/>
      <x:c r="F162" s="28"/>
      <x:c r="G162" s="14"/>
      <x:c r="H162" s="30"/>
      <x:c r="I162" s="30"/>
      <x:c r="J162" s="30"/>
      <x:c r="K162" s="30"/>
      <x:c r="L162" s="30"/>
      <x:c r="M162" s="30"/>
      <x:c r="N162" s="30"/>
      <x:c r="O162" s="32"/>
      <x:c r="P162" s="34"/>
      <x:c r="Q162" s="14"/>
      <x:c r="R162" s="14"/>
      <x:c r="S162" s="36" t="str">
        <x:f>IF(COUNT(J162:M162)&lt;4,"",SUM(J162:M162))</x:f>
      </x:c>
      <x:c r="T162" s="38" t="str">
        <x:f>IF(OR(S162="",I162="",I162&lt;=0),"",S162/I162)</x:f>
      </x:c>
      <x:c r="U162" s="38" t="str">
        <x:f>IF(OR(L162="",I162="",I162&lt;=0),"",L162/I162)</x:f>
      </x:c>
      <x:c r="V162" s="38" t="str">
        <x:f>IF(OR(M162="",I162="",I162&lt;=0),"",M162/I162)</x:f>
      </x:c>
      <x:c r="W162" s="38" t="str">
        <x:f>IF(OR(N162="",I162="",I162&lt;=0),"",N162/I162)</x:f>
      </x:c>
      <x:c r="X162" s="38" t="str">
        <x:f>IF(OR(O162="",F162="",F162&lt;=0),"",O162/F162)</x:f>
      </x:c>
      <x:c r="Y162" s="40" t="str">
        <x:f>IF(OR(A162="",B162=""),"",B162-A162)</x:f>
      </x:c>
      <x:c r="Z162" s="8" t="str">
        <x:f>IF(COUNTA(A162:R162)=0,"",IF(OR(A162="",B162="",C162="",G162="",H162=""),"INCOMPLETO",IF(B162&lt;A162,"DATA INVÁLIDA",IF(AND(G162="7d",OR(Y162&lt;7,Y162&gt;10)),"FORA DA JANELA",IF(AND(G162="30d",OR(Y162&lt;30,Y162&gt;35)),"FORA DA JANELA",IF(COUNTIFS($C$2:$C$201,C162,$G$2:$G$201,G162)&gt;1,"DUPLICADO","OK"))))))</x:f>
      </x:c>
      <x:c r="AA162" s="44" t="n">
        <x:f>IF(ISNUMBER(H162),1,0)</x:f>
        <x:v>0</x:v>
      </x:c>
      <x:c r="AB162" s="44" t="n">
        <x:f>IF(ISNUMBER(I162),1,0)</x:f>
        <x:v>0</x:v>
      </x:c>
      <x:c r="AC162" s="44" t="n">
        <x:f>IF(ISNUMBER(T162),1,0)</x:f>
        <x:v>0</x:v>
      </x:c>
      <x:c r="AD162" s="44" t="n">
        <x:f>IF(ISNUMBER(U162),1,0)</x:f>
        <x:v>0</x:v>
      </x:c>
      <x:c r="AE162" s="44" t="n">
        <x:f>IF(ISNUMBER(V162),1,0)</x:f>
        <x:v>0</x:v>
      </x:c>
      <x:c r="AF162" s="44" t="n">
        <x:f>IF(ISNUMBER(W162),1,0)</x:f>
        <x:v>0</x:v>
      </x:c>
      <x:c r="AG162" s="44" t="n">
        <x:f>IF(ISNUMBER(X162),1,0)</x:f>
        <x:v>0</x:v>
      </x:c>
      <x:c r="AH162" s="44" t="n">
        <x:f>IF(ISNUMBER(P162),1,0)</x:f>
        <x:v>0</x:v>
      </x:c>
      <x:c r="AI162" s="44" t="n">
        <x:f>IF(ISNUMBER(O162),1,0)</x:f>
        <x:v>0</x:v>
      </x:c>
    </x:row>
    <x:row r="163" ht="22" customHeight="1">
      <x:c r="A163" s="26"/>
      <x:c r="B163" s="26"/>
      <x:c r="C163" s="14"/>
      <x:c r="D163" s="14"/>
      <x:c r="E163" s="14"/>
      <x:c r="F163" s="28"/>
      <x:c r="G163" s="14"/>
      <x:c r="H163" s="30"/>
      <x:c r="I163" s="30"/>
      <x:c r="J163" s="30"/>
      <x:c r="K163" s="30"/>
      <x:c r="L163" s="30"/>
      <x:c r="M163" s="30"/>
      <x:c r="N163" s="30"/>
      <x:c r="O163" s="32"/>
      <x:c r="P163" s="34"/>
      <x:c r="Q163" s="14"/>
      <x:c r="R163" s="14"/>
      <x:c r="S163" s="36" t="str">
        <x:f>IF(COUNT(J163:M163)&lt;4,"",SUM(J163:M163))</x:f>
      </x:c>
      <x:c r="T163" s="38" t="str">
        <x:f>IF(OR(S163="",I163="",I163&lt;=0),"",S163/I163)</x:f>
      </x:c>
      <x:c r="U163" s="38" t="str">
        <x:f>IF(OR(L163="",I163="",I163&lt;=0),"",L163/I163)</x:f>
      </x:c>
      <x:c r="V163" s="38" t="str">
        <x:f>IF(OR(M163="",I163="",I163&lt;=0),"",M163/I163)</x:f>
      </x:c>
      <x:c r="W163" s="38" t="str">
        <x:f>IF(OR(N163="",I163="",I163&lt;=0),"",N163/I163)</x:f>
      </x:c>
      <x:c r="X163" s="38" t="str">
        <x:f>IF(OR(O163="",F163="",F163&lt;=0),"",O163/F163)</x:f>
      </x:c>
      <x:c r="Y163" s="40" t="str">
        <x:f>IF(OR(A163="",B163=""),"",B163-A163)</x:f>
      </x:c>
      <x:c r="Z163" s="8" t="str">
        <x:f>IF(COUNTA(A163:R163)=0,"",IF(OR(A163="",B163="",C163="",G163="",H163=""),"INCOMPLETO",IF(B163&lt;A163,"DATA INVÁLIDA",IF(AND(G163="7d",OR(Y163&lt;7,Y163&gt;10)),"FORA DA JANELA",IF(AND(G163="30d",OR(Y163&lt;30,Y163&gt;35)),"FORA DA JANELA",IF(COUNTIFS($C$2:$C$201,C163,$G$2:$G$201,G163)&gt;1,"DUPLICADO","OK"))))))</x:f>
      </x:c>
      <x:c r="AA163" s="44" t="n">
        <x:f>IF(ISNUMBER(H163),1,0)</x:f>
        <x:v>0</x:v>
      </x:c>
      <x:c r="AB163" s="44" t="n">
        <x:f>IF(ISNUMBER(I163),1,0)</x:f>
        <x:v>0</x:v>
      </x:c>
      <x:c r="AC163" s="44" t="n">
        <x:f>IF(ISNUMBER(T163),1,0)</x:f>
        <x:v>0</x:v>
      </x:c>
      <x:c r="AD163" s="44" t="n">
        <x:f>IF(ISNUMBER(U163),1,0)</x:f>
        <x:v>0</x:v>
      </x:c>
      <x:c r="AE163" s="44" t="n">
        <x:f>IF(ISNUMBER(V163),1,0)</x:f>
        <x:v>0</x:v>
      </x:c>
      <x:c r="AF163" s="44" t="n">
        <x:f>IF(ISNUMBER(W163),1,0)</x:f>
        <x:v>0</x:v>
      </x:c>
      <x:c r="AG163" s="44" t="n">
        <x:f>IF(ISNUMBER(X163),1,0)</x:f>
        <x:v>0</x:v>
      </x:c>
      <x:c r="AH163" s="44" t="n">
        <x:f>IF(ISNUMBER(P163),1,0)</x:f>
        <x:v>0</x:v>
      </x:c>
      <x:c r="AI163" s="44" t="n">
        <x:f>IF(ISNUMBER(O163),1,0)</x:f>
        <x:v>0</x:v>
      </x:c>
    </x:row>
    <x:row r="164" ht="22" customHeight="1">
      <x:c r="A164" s="26"/>
      <x:c r="B164" s="26"/>
      <x:c r="C164" s="14"/>
      <x:c r="D164" s="14"/>
      <x:c r="E164" s="14"/>
      <x:c r="F164" s="28"/>
      <x:c r="G164" s="14"/>
      <x:c r="H164" s="30"/>
      <x:c r="I164" s="30"/>
      <x:c r="J164" s="30"/>
      <x:c r="K164" s="30"/>
      <x:c r="L164" s="30"/>
      <x:c r="M164" s="30"/>
      <x:c r="N164" s="30"/>
      <x:c r="O164" s="32"/>
      <x:c r="P164" s="34"/>
      <x:c r="Q164" s="14"/>
      <x:c r="R164" s="14"/>
      <x:c r="S164" s="36" t="str">
        <x:f>IF(COUNT(J164:M164)&lt;4,"",SUM(J164:M164))</x:f>
      </x:c>
      <x:c r="T164" s="38" t="str">
        <x:f>IF(OR(S164="",I164="",I164&lt;=0),"",S164/I164)</x:f>
      </x:c>
      <x:c r="U164" s="38" t="str">
        <x:f>IF(OR(L164="",I164="",I164&lt;=0),"",L164/I164)</x:f>
      </x:c>
      <x:c r="V164" s="38" t="str">
        <x:f>IF(OR(M164="",I164="",I164&lt;=0),"",M164/I164)</x:f>
      </x:c>
      <x:c r="W164" s="38" t="str">
        <x:f>IF(OR(N164="",I164="",I164&lt;=0),"",N164/I164)</x:f>
      </x:c>
      <x:c r="X164" s="38" t="str">
        <x:f>IF(OR(O164="",F164="",F164&lt;=0),"",O164/F164)</x:f>
      </x:c>
      <x:c r="Y164" s="40" t="str">
        <x:f>IF(OR(A164="",B164=""),"",B164-A164)</x:f>
      </x:c>
      <x:c r="Z164" s="8" t="str">
        <x:f>IF(COUNTA(A164:R164)=0,"",IF(OR(A164="",B164="",C164="",G164="",H164=""),"INCOMPLETO",IF(B164&lt;A164,"DATA INVÁLIDA",IF(AND(G164="7d",OR(Y164&lt;7,Y164&gt;10)),"FORA DA JANELA",IF(AND(G164="30d",OR(Y164&lt;30,Y164&gt;35)),"FORA DA JANELA",IF(COUNTIFS($C$2:$C$201,C164,$G$2:$G$201,G164)&gt;1,"DUPLICADO","OK"))))))</x:f>
      </x:c>
      <x:c r="AA164" s="44" t="n">
        <x:f>IF(ISNUMBER(H164),1,0)</x:f>
        <x:v>0</x:v>
      </x:c>
      <x:c r="AB164" s="44" t="n">
        <x:f>IF(ISNUMBER(I164),1,0)</x:f>
        <x:v>0</x:v>
      </x:c>
      <x:c r="AC164" s="44" t="n">
        <x:f>IF(ISNUMBER(T164),1,0)</x:f>
        <x:v>0</x:v>
      </x:c>
      <x:c r="AD164" s="44" t="n">
        <x:f>IF(ISNUMBER(U164),1,0)</x:f>
        <x:v>0</x:v>
      </x:c>
      <x:c r="AE164" s="44" t="n">
        <x:f>IF(ISNUMBER(V164),1,0)</x:f>
        <x:v>0</x:v>
      </x:c>
      <x:c r="AF164" s="44" t="n">
        <x:f>IF(ISNUMBER(W164),1,0)</x:f>
        <x:v>0</x:v>
      </x:c>
      <x:c r="AG164" s="44" t="n">
        <x:f>IF(ISNUMBER(X164),1,0)</x:f>
        <x:v>0</x:v>
      </x:c>
      <x:c r="AH164" s="44" t="n">
        <x:f>IF(ISNUMBER(P164),1,0)</x:f>
        <x:v>0</x:v>
      </x:c>
      <x:c r="AI164" s="44" t="n">
        <x:f>IF(ISNUMBER(O164),1,0)</x:f>
        <x:v>0</x:v>
      </x:c>
    </x:row>
    <x:row r="165" ht="22" customHeight="1">
      <x:c r="A165" s="26"/>
      <x:c r="B165" s="26"/>
      <x:c r="C165" s="14"/>
      <x:c r="D165" s="14"/>
      <x:c r="E165" s="14"/>
      <x:c r="F165" s="28"/>
      <x:c r="G165" s="14"/>
      <x:c r="H165" s="30"/>
      <x:c r="I165" s="30"/>
      <x:c r="J165" s="30"/>
      <x:c r="K165" s="30"/>
      <x:c r="L165" s="30"/>
      <x:c r="M165" s="30"/>
      <x:c r="N165" s="30"/>
      <x:c r="O165" s="32"/>
      <x:c r="P165" s="34"/>
      <x:c r="Q165" s="14"/>
      <x:c r="R165" s="14"/>
      <x:c r="S165" s="36" t="str">
        <x:f>IF(COUNT(J165:M165)&lt;4,"",SUM(J165:M165))</x:f>
      </x:c>
      <x:c r="T165" s="38" t="str">
        <x:f>IF(OR(S165="",I165="",I165&lt;=0),"",S165/I165)</x:f>
      </x:c>
      <x:c r="U165" s="38" t="str">
        <x:f>IF(OR(L165="",I165="",I165&lt;=0),"",L165/I165)</x:f>
      </x:c>
      <x:c r="V165" s="38" t="str">
        <x:f>IF(OR(M165="",I165="",I165&lt;=0),"",M165/I165)</x:f>
      </x:c>
      <x:c r="W165" s="38" t="str">
        <x:f>IF(OR(N165="",I165="",I165&lt;=0),"",N165/I165)</x:f>
      </x:c>
      <x:c r="X165" s="38" t="str">
        <x:f>IF(OR(O165="",F165="",F165&lt;=0),"",O165/F165)</x:f>
      </x:c>
      <x:c r="Y165" s="40" t="str">
        <x:f>IF(OR(A165="",B165=""),"",B165-A165)</x:f>
      </x:c>
      <x:c r="Z165" s="8" t="str">
        <x:f>IF(COUNTA(A165:R165)=0,"",IF(OR(A165="",B165="",C165="",G165="",H165=""),"INCOMPLETO",IF(B165&lt;A165,"DATA INVÁLIDA",IF(AND(G165="7d",OR(Y165&lt;7,Y165&gt;10)),"FORA DA JANELA",IF(AND(G165="30d",OR(Y165&lt;30,Y165&gt;35)),"FORA DA JANELA",IF(COUNTIFS($C$2:$C$201,C165,$G$2:$G$201,G165)&gt;1,"DUPLICADO","OK"))))))</x:f>
      </x:c>
      <x:c r="AA165" s="44" t="n">
        <x:f>IF(ISNUMBER(H165),1,0)</x:f>
        <x:v>0</x:v>
      </x:c>
      <x:c r="AB165" s="44" t="n">
        <x:f>IF(ISNUMBER(I165),1,0)</x:f>
        <x:v>0</x:v>
      </x:c>
      <x:c r="AC165" s="44" t="n">
        <x:f>IF(ISNUMBER(T165),1,0)</x:f>
        <x:v>0</x:v>
      </x:c>
      <x:c r="AD165" s="44" t="n">
        <x:f>IF(ISNUMBER(U165),1,0)</x:f>
        <x:v>0</x:v>
      </x:c>
      <x:c r="AE165" s="44" t="n">
        <x:f>IF(ISNUMBER(V165),1,0)</x:f>
        <x:v>0</x:v>
      </x:c>
      <x:c r="AF165" s="44" t="n">
        <x:f>IF(ISNUMBER(W165),1,0)</x:f>
        <x:v>0</x:v>
      </x:c>
      <x:c r="AG165" s="44" t="n">
        <x:f>IF(ISNUMBER(X165),1,0)</x:f>
        <x:v>0</x:v>
      </x:c>
      <x:c r="AH165" s="44" t="n">
        <x:f>IF(ISNUMBER(P165),1,0)</x:f>
        <x:v>0</x:v>
      </x:c>
      <x:c r="AI165" s="44" t="n">
        <x:f>IF(ISNUMBER(O165),1,0)</x:f>
        <x:v>0</x:v>
      </x:c>
    </x:row>
    <x:row r="166" ht="22" customHeight="1">
      <x:c r="A166" s="26"/>
      <x:c r="B166" s="26"/>
      <x:c r="C166" s="14"/>
      <x:c r="D166" s="14"/>
      <x:c r="E166" s="14"/>
      <x:c r="F166" s="28"/>
      <x:c r="G166" s="14"/>
      <x:c r="H166" s="30"/>
      <x:c r="I166" s="30"/>
      <x:c r="J166" s="30"/>
      <x:c r="K166" s="30"/>
      <x:c r="L166" s="30"/>
      <x:c r="M166" s="30"/>
      <x:c r="N166" s="30"/>
      <x:c r="O166" s="32"/>
      <x:c r="P166" s="34"/>
      <x:c r="Q166" s="14"/>
      <x:c r="R166" s="14"/>
      <x:c r="S166" s="36" t="str">
        <x:f>IF(COUNT(J166:M166)&lt;4,"",SUM(J166:M166))</x:f>
      </x:c>
      <x:c r="T166" s="38" t="str">
        <x:f>IF(OR(S166="",I166="",I166&lt;=0),"",S166/I166)</x:f>
      </x:c>
      <x:c r="U166" s="38" t="str">
        <x:f>IF(OR(L166="",I166="",I166&lt;=0),"",L166/I166)</x:f>
      </x:c>
      <x:c r="V166" s="38" t="str">
        <x:f>IF(OR(M166="",I166="",I166&lt;=0),"",M166/I166)</x:f>
      </x:c>
      <x:c r="W166" s="38" t="str">
        <x:f>IF(OR(N166="",I166="",I166&lt;=0),"",N166/I166)</x:f>
      </x:c>
      <x:c r="X166" s="38" t="str">
        <x:f>IF(OR(O166="",F166="",F166&lt;=0),"",O166/F166)</x:f>
      </x:c>
      <x:c r="Y166" s="40" t="str">
        <x:f>IF(OR(A166="",B166=""),"",B166-A166)</x:f>
      </x:c>
      <x:c r="Z166" s="8" t="str">
        <x:f>IF(COUNTA(A166:R166)=0,"",IF(OR(A166="",B166="",C166="",G166="",H166=""),"INCOMPLETO",IF(B166&lt;A166,"DATA INVÁLIDA",IF(AND(G166="7d",OR(Y166&lt;7,Y166&gt;10)),"FORA DA JANELA",IF(AND(G166="30d",OR(Y166&lt;30,Y166&gt;35)),"FORA DA JANELA",IF(COUNTIFS($C$2:$C$201,C166,$G$2:$G$201,G166)&gt;1,"DUPLICADO","OK"))))))</x:f>
      </x:c>
      <x:c r="AA166" s="44" t="n">
        <x:f>IF(ISNUMBER(H166),1,0)</x:f>
        <x:v>0</x:v>
      </x:c>
      <x:c r="AB166" s="44" t="n">
        <x:f>IF(ISNUMBER(I166),1,0)</x:f>
        <x:v>0</x:v>
      </x:c>
      <x:c r="AC166" s="44" t="n">
        <x:f>IF(ISNUMBER(T166),1,0)</x:f>
        <x:v>0</x:v>
      </x:c>
      <x:c r="AD166" s="44" t="n">
        <x:f>IF(ISNUMBER(U166),1,0)</x:f>
        <x:v>0</x:v>
      </x:c>
      <x:c r="AE166" s="44" t="n">
        <x:f>IF(ISNUMBER(V166),1,0)</x:f>
        <x:v>0</x:v>
      </x:c>
      <x:c r="AF166" s="44" t="n">
        <x:f>IF(ISNUMBER(W166),1,0)</x:f>
        <x:v>0</x:v>
      </x:c>
      <x:c r="AG166" s="44" t="n">
        <x:f>IF(ISNUMBER(X166),1,0)</x:f>
        <x:v>0</x:v>
      </x:c>
      <x:c r="AH166" s="44" t="n">
        <x:f>IF(ISNUMBER(P166),1,0)</x:f>
        <x:v>0</x:v>
      </x:c>
      <x:c r="AI166" s="44" t="n">
        <x:f>IF(ISNUMBER(O166),1,0)</x:f>
        <x:v>0</x:v>
      </x:c>
    </x:row>
    <x:row r="167" ht="22" customHeight="1">
      <x:c r="A167" s="26"/>
      <x:c r="B167" s="26"/>
      <x:c r="C167" s="14"/>
      <x:c r="D167" s="14"/>
      <x:c r="E167" s="14"/>
      <x:c r="F167" s="28"/>
      <x:c r="G167" s="14"/>
      <x:c r="H167" s="30"/>
      <x:c r="I167" s="30"/>
      <x:c r="J167" s="30"/>
      <x:c r="K167" s="30"/>
      <x:c r="L167" s="30"/>
      <x:c r="M167" s="30"/>
      <x:c r="N167" s="30"/>
      <x:c r="O167" s="32"/>
      <x:c r="P167" s="34"/>
      <x:c r="Q167" s="14"/>
      <x:c r="R167" s="14"/>
      <x:c r="S167" s="36" t="str">
        <x:f>IF(COUNT(J167:M167)&lt;4,"",SUM(J167:M167))</x:f>
      </x:c>
      <x:c r="T167" s="38" t="str">
        <x:f>IF(OR(S167="",I167="",I167&lt;=0),"",S167/I167)</x:f>
      </x:c>
      <x:c r="U167" s="38" t="str">
        <x:f>IF(OR(L167="",I167="",I167&lt;=0),"",L167/I167)</x:f>
      </x:c>
      <x:c r="V167" s="38" t="str">
        <x:f>IF(OR(M167="",I167="",I167&lt;=0),"",M167/I167)</x:f>
      </x:c>
      <x:c r="W167" s="38" t="str">
        <x:f>IF(OR(N167="",I167="",I167&lt;=0),"",N167/I167)</x:f>
      </x:c>
      <x:c r="X167" s="38" t="str">
        <x:f>IF(OR(O167="",F167="",F167&lt;=0),"",O167/F167)</x:f>
      </x:c>
      <x:c r="Y167" s="40" t="str">
        <x:f>IF(OR(A167="",B167=""),"",B167-A167)</x:f>
      </x:c>
      <x:c r="Z167" s="8" t="str">
        <x:f>IF(COUNTA(A167:R167)=0,"",IF(OR(A167="",B167="",C167="",G167="",H167=""),"INCOMPLETO",IF(B167&lt;A167,"DATA INVÁLIDA",IF(AND(G167="7d",OR(Y167&lt;7,Y167&gt;10)),"FORA DA JANELA",IF(AND(G167="30d",OR(Y167&lt;30,Y167&gt;35)),"FORA DA JANELA",IF(COUNTIFS($C$2:$C$201,C167,$G$2:$G$201,G167)&gt;1,"DUPLICADO","OK"))))))</x:f>
      </x:c>
      <x:c r="AA167" s="44" t="n">
        <x:f>IF(ISNUMBER(H167),1,0)</x:f>
        <x:v>0</x:v>
      </x:c>
      <x:c r="AB167" s="44" t="n">
        <x:f>IF(ISNUMBER(I167),1,0)</x:f>
        <x:v>0</x:v>
      </x:c>
      <x:c r="AC167" s="44" t="n">
        <x:f>IF(ISNUMBER(T167),1,0)</x:f>
        <x:v>0</x:v>
      </x:c>
      <x:c r="AD167" s="44" t="n">
        <x:f>IF(ISNUMBER(U167),1,0)</x:f>
        <x:v>0</x:v>
      </x:c>
      <x:c r="AE167" s="44" t="n">
        <x:f>IF(ISNUMBER(V167),1,0)</x:f>
        <x:v>0</x:v>
      </x:c>
      <x:c r="AF167" s="44" t="n">
        <x:f>IF(ISNUMBER(W167),1,0)</x:f>
        <x:v>0</x:v>
      </x:c>
      <x:c r="AG167" s="44" t="n">
        <x:f>IF(ISNUMBER(X167),1,0)</x:f>
        <x:v>0</x:v>
      </x:c>
      <x:c r="AH167" s="44" t="n">
        <x:f>IF(ISNUMBER(P167),1,0)</x:f>
        <x:v>0</x:v>
      </x:c>
      <x:c r="AI167" s="44" t="n">
        <x:f>IF(ISNUMBER(O167),1,0)</x:f>
        <x:v>0</x:v>
      </x:c>
    </x:row>
    <x:row r="168" ht="22" customHeight="1">
      <x:c r="A168" s="26"/>
      <x:c r="B168" s="26"/>
      <x:c r="C168" s="14"/>
      <x:c r="D168" s="14"/>
      <x:c r="E168" s="14"/>
      <x:c r="F168" s="28"/>
      <x:c r="G168" s="14"/>
      <x:c r="H168" s="30"/>
      <x:c r="I168" s="30"/>
      <x:c r="J168" s="30"/>
      <x:c r="K168" s="30"/>
      <x:c r="L168" s="30"/>
      <x:c r="M168" s="30"/>
      <x:c r="N168" s="30"/>
      <x:c r="O168" s="32"/>
      <x:c r="P168" s="34"/>
      <x:c r="Q168" s="14"/>
      <x:c r="R168" s="14"/>
      <x:c r="S168" s="36" t="str">
        <x:f>IF(COUNT(J168:M168)&lt;4,"",SUM(J168:M168))</x:f>
      </x:c>
      <x:c r="T168" s="38" t="str">
        <x:f>IF(OR(S168="",I168="",I168&lt;=0),"",S168/I168)</x:f>
      </x:c>
      <x:c r="U168" s="38" t="str">
        <x:f>IF(OR(L168="",I168="",I168&lt;=0),"",L168/I168)</x:f>
      </x:c>
      <x:c r="V168" s="38" t="str">
        <x:f>IF(OR(M168="",I168="",I168&lt;=0),"",M168/I168)</x:f>
      </x:c>
      <x:c r="W168" s="38" t="str">
        <x:f>IF(OR(N168="",I168="",I168&lt;=0),"",N168/I168)</x:f>
      </x:c>
      <x:c r="X168" s="38" t="str">
        <x:f>IF(OR(O168="",F168="",F168&lt;=0),"",O168/F168)</x:f>
      </x:c>
      <x:c r="Y168" s="40" t="str">
        <x:f>IF(OR(A168="",B168=""),"",B168-A168)</x:f>
      </x:c>
      <x:c r="Z168" s="8" t="str">
        <x:f>IF(COUNTA(A168:R168)=0,"",IF(OR(A168="",B168="",C168="",G168="",H168=""),"INCOMPLETO",IF(B168&lt;A168,"DATA INVÁLIDA",IF(AND(G168="7d",OR(Y168&lt;7,Y168&gt;10)),"FORA DA JANELA",IF(AND(G168="30d",OR(Y168&lt;30,Y168&gt;35)),"FORA DA JANELA",IF(COUNTIFS($C$2:$C$201,C168,$G$2:$G$201,G168)&gt;1,"DUPLICADO","OK"))))))</x:f>
      </x:c>
      <x:c r="AA168" s="44" t="n">
        <x:f>IF(ISNUMBER(H168),1,0)</x:f>
        <x:v>0</x:v>
      </x:c>
      <x:c r="AB168" s="44" t="n">
        <x:f>IF(ISNUMBER(I168),1,0)</x:f>
        <x:v>0</x:v>
      </x:c>
      <x:c r="AC168" s="44" t="n">
        <x:f>IF(ISNUMBER(T168),1,0)</x:f>
        <x:v>0</x:v>
      </x:c>
      <x:c r="AD168" s="44" t="n">
        <x:f>IF(ISNUMBER(U168),1,0)</x:f>
        <x:v>0</x:v>
      </x:c>
      <x:c r="AE168" s="44" t="n">
        <x:f>IF(ISNUMBER(V168),1,0)</x:f>
        <x:v>0</x:v>
      </x:c>
      <x:c r="AF168" s="44" t="n">
        <x:f>IF(ISNUMBER(W168),1,0)</x:f>
        <x:v>0</x:v>
      </x:c>
      <x:c r="AG168" s="44" t="n">
        <x:f>IF(ISNUMBER(X168),1,0)</x:f>
        <x:v>0</x:v>
      </x:c>
      <x:c r="AH168" s="44" t="n">
        <x:f>IF(ISNUMBER(P168),1,0)</x:f>
        <x:v>0</x:v>
      </x:c>
      <x:c r="AI168" s="44" t="n">
        <x:f>IF(ISNUMBER(O168),1,0)</x:f>
        <x:v>0</x:v>
      </x:c>
    </x:row>
    <x:row r="169" ht="22" customHeight="1">
      <x:c r="A169" s="26"/>
      <x:c r="B169" s="26"/>
      <x:c r="C169" s="14"/>
      <x:c r="D169" s="14"/>
      <x:c r="E169" s="14"/>
      <x:c r="F169" s="28"/>
      <x:c r="G169" s="14"/>
      <x:c r="H169" s="30"/>
      <x:c r="I169" s="30"/>
      <x:c r="J169" s="30"/>
      <x:c r="K169" s="30"/>
      <x:c r="L169" s="30"/>
      <x:c r="M169" s="30"/>
      <x:c r="N169" s="30"/>
      <x:c r="O169" s="32"/>
      <x:c r="P169" s="34"/>
      <x:c r="Q169" s="14"/>
      <x:c r="R169" s="14"/>
      <x:c r="S169" s="36" t="str">
        <x:f>IF(COUNT(J169:M169)&lt;4,"",SUM(J169:M169))</x:f>
      </x:c>
      <x:c r="T169" s="38" t="str">
        <x:f>IF(OR(S169="",I169="",I169&lt;=0),"",S169/I169)</x:f>
      </x:c>
      <x:c r="U169" s="38" t="str">
        <x:f>IF(OR(L169="",I169="",I169&lt;=0),"",L169/I169)</x:f>
      </x:c>
      <x:c r="V169" s="38" t="str">
        <x:f>IF(OR(M169="",I169="",I169&lt;=0),"",M169/I169)</x:f>
      </x:c>
      <x:c r="W169" s="38" t="str">
        <x:f>IF(OR(N169="",I169="",I169&lt;=0),"",N169/I169)</x:f>
      </x:c>
      <x:c r="X169" s="38" t="str">
        <x:f>IF(OR(O169="",F169="",F169&lt;=0),"",O169/F169)</x:f>
      </x:c>
      <x:c r="Y169" s="40" t="str">
        <x:f>IF(OR(A169="",B169=""),"",B169-A169)</x:f>
      </x:c>
      <x:c r="Z169" s="8" t="str">
        <x:f>IF(COUNTA(A169:R169)=0,"",IF(OR(A169="",B169="",C169="",G169="",H169=""),"INCOMPLETO",IF(B169&lt;A169,"DATA INVÁLIDA",IF(AND(G169="7d",OR(Y169&lt;7,Y169&gt;10)),"FORA DA JANELA",IF(AND(G169="30d",OR(Y169&lt;30,Y169&gt;35)),"FORA DA JANELA",IF(COUNTIFS($C$2:$C$201,C169,$G$2:$G$201,G169)&gt;1,"DUPLICADO","OK"))))))</x:f>
      </x:c>
      <x:c r="AA169" s="44" t="n">
        <x:f>IF(ISNUMBER(H169),1,0)</x:f>
        <x:v>0</x:v>
      </x:c>
      <x:c r="AB169" s="44" t="n">
        <x:f>IF(ISNUMBER(I169),1,0)</x:f>
        <x:v>0</x:v>
      </x:c>
      <x:c r="AC169" s="44" t="n">
        <x:f>IF(ISNUMBER(T169),1,0)</x:f>
        <x:v>0</x:v>
      </x:c>
      <x:c r="AD169" s="44" t="n">
        <x:f>IF(ISNUMBER(U169),1,0)</x:f>
        <x:v>0</x:v>
      </x:c>
      <x:c r="AE169" s="44" t="n">
        <x:f>IF(ISNUMBER(V169),1,0)</x:f>
        <x:v>0</x:v>
      </x:c>
      <x:c r="AF169" s="44" t="n">
        <x:f>IF(ISNUMBER(W169),1,0)</x:f>
        <x:v>0</x:v>
      </x:c>
      <x:c r="AG169" s="44" t="n">
        <x:f>IF(ISNUMBER(X169),1,0)</x:f>
        <x:v>0</x:v>
      </x:c>
      <x:c r="AH169" s="44" t="n">
        <x:f>IF(ISNUMBER(P169),1,0)</x:f>
        <x:v>0</x:v>
      </x:c>
      <x:c r="AI169" s="44" t="n">
        <x:f>IF(ISNUMBER(O169),1,0)</x:f>
        <x:v>0</x:v>
      </x:c>
    </x:row>
    <x:row r="170" ht="22" customHeight="1">
      <x:c r="A170" s="26"/>
      <x:c r="B170" s="26"/>
      <x:c r="C170" s="14"/>
      <x:c r="D170" s="14"/>
      <x:c r="E170" s="14"/>
      <x:c r="F170" s="28"/>
      <x:c r="G170" s="14"/>
      <x:c r="H170" s="30"/>
      <x:c r="I170" s="30"/>
      <x:c r="J170" s="30"/>
      <x:c r="K170" s="30"/>
      <x:c r="L170" s="30"/>
      <x:c r="M170" s="30"/>
      <x:c r="N170" s="30"/>
      <x:c r="O170" s="32"/>
      <x:c r="P170" s="34"/>
      <x:c r="Q170" s="14"/>
      <x:c r="R170" s="14"/>
      <x:c r="S170" s="36" t="str">
        <x:f>IF(COUNT(J170:M170)&lt;4,"",SUM(J170:M170))</x:f>
      </x:c>
      <x:c r="T170" s="38" t="str">
        <x:f>IF(OR(S170="",I170="",I170&lt;=0),"",S170/I170)</x:f>
      </x:c>
      <x:c r="U170" s="38" t="str">
        <x:f>IF(OR(L170="",I170="",I170&lt;=0),"",L170/I170)</x:f>
      </x:c>
      <x:c r="V170" s="38" t="str">
        <x:f>IF(OR(M170="",I170="",I170&lt;=0),"",M170/I170)</x:f>
      </x:c>
      <x:c r="W170" s="38" t="str">
        <x:f>IF(OR(N170="",I170="",I170&lt;=0),"",N170/I170)</x:f>
      </x:c>
      <x:c r="X170" s="38" t="str">
        <x:f>IF(OR(O170="",F170="",F170&lt;=0),"",O170/F170)</x:f>
      </x:c>
      <x:c r="Y170" s="40" t="str">
        <x:f>IF(OR(A170="",B170=""),"",B170-A170)</x:f>
      </x:c>
      <x:c r="Z170" s="8" t="str">
        <x:f>IF(COUNTA(A170:R170)=0,"",IF(OR(A170="",B170="",C170="",G170="",H170=""),"INCOMPLETO",IF(B170&lt;A170,"DATA INVÁLIDA",IF(AND(G170="7d",OR(Y170&lt;7,Y170&gt;10)),"FORA DA JANELA",IF(AND(G170="30d",OR(Y170&lt;30,Y170&gt;35)),"FORA DA JANELA",IF(COUNTIFS($C$2:$C$201,C170,$G$2:$G$201,G170)&gt;1,"DUPLICADO","OK"))))))</x:f>
      </x:c>
      <x:c r="AA170" s="44" t="n">
        <x:f>IF(ISNUMBER(H170),1,0)</x:f>
        <x:v>0</x:v>
      </x:c>
      <x:c r="AB170" s="44" t="n">
        <x:f>IF(ISNUMBER(I170),1,0)</x:f>
        <x:v>0</x:v>
      </x:c>
      <x:c r="AC170" s="44" t="n">
        <x:f>IF(ISNUMBER(T170),1,0)</x:f>
        <x:v>0</x:v>
      </x:c>
      <x:c r="AD170" s="44" t="n">
        <x:f>IF(ISNUMBER(U170),1,0)</x:f>
        <x:v>0</x:v>
      </x:c>
      <x:c r="AE170" s="44" t="n">
        <x:f>IF(ISNUMBER(V170),1,0)</x:f>
        <x:v>0</x:v>
      </x:c>
      <x:c r="AF170" s="44" t="n">
        <x:f>IF(ISNUMBER(W170),1,0)</x:f>
        <x:v>0</x:v>
      </x:c>
      <x:c r="AG170" s="44" t="n">
        <x:f>IF(ISNUMBER(X170),1,0)</x:f>
        <x:v>0</x:v>
      </x:c>
      <x:c r="AH170" s="44" t="n">
        <x:f>IF(ISNUMBER(P170),1,0)</x:f>
        <x:v>0</x:v>
      </x:c>
      <x:c r="AI170" s="44" t="n">
        <x:f>IF(ISNUMBER(O170),1,0)</x:f>
        <x:v>0</x:v>
      </x:c>
    </x:row>
    <x:row r="171" ht="22" customHeight="1">
      <x:c r="A171" s="26"/>
      <x:c r="B171" s="26"/>
      <x:c r="C171" s="14"/>
      <x:c r="D171" s="14"/>
      <x:c r="E171" s="14"/>
      <x:c r="F171" s="28"/>
      <x:c r="G171" s="14"/>
      <x:c r="H171" s="30"/>
      <x:c r="I171" s="30"/>
      <x:c r="J171" s="30"/>
      <x:c r="K171" s="30"/>
      <x:c r="L171" s="30"/>
      <x:c r="M171" s="30"/>
      <x:c r="N171" s="30"/>
      <x:c r="O171" s="32"/>
      <x:c r="P171" s="34"/>
      <x:c r="Q171" s="14"/>
      <x:c r="R171" s="14"/>
      <x:c r="S171" s="36" t="str">
        <x:f>IF(COUNT(J171:M171)&lt;4,"",SUM(J171:M171))</x:f>
      </x:c>
      <x:c r="T171" s="38" t="str">
        <x:f>IF(OR(S171="",I171="",I171&lt;=0),"",S171/I171)</x:f>
      </x:c>
      <x:c r="U171" s="38" t="str">
        <x:f>IF(OR(L171="",I171="",I171&lt;=0),"",L171/I171)</x:f>
      </x:c>
      <x:c r="V171" s="38" t="str">
        <x:f>IF(OR(M171="",I171="",I171&lt;=0),"",M171/I171)</x:f>
      </x:c>
      <x:c r="W171" s="38" t="str">
        <x:f>IF(OR(N171="",I171="",I171&lt;=0),"",N171/I171)</x:f>
      </x:c>
      <x:c r="X171" s="38" t="str">
        <x:f>IF(OR(O171="",F171="",F171&lt;=0),"",O171/F171)</x:f>
      </x:c>
      <x:c r="Y171" s="40" t="str">
        <x:f>IF(OR(A171="",B171=""),"",B171-A171)</x:f>
      </x:c>
      <x:c r="Z171" s="8" t="str">
        <x:f>IF(COUNTA(A171:R171)=0,"",IF(OR(A171="",B171="",C171="",G171="",H171=""),"INCOMPLETO",IF(B171&lt;A171,"DATA INVÁLIDA",IF(AND(G171="7d",OR(Y171&lt;7,Y171&gt;10)),"FORA DA JANELA",IF(AND(G171="30d",OR(Y171&lt;30,Y171&gt;35)),"FORA DA JANELA",IF(COUNTIFS($C$2:$C$201,C171,$G$2:$G$201,G171)&gt;1,"DUPLICADO","OK"))))))</x:f>
      </x:c>
      <x:c r="AA171" s="44" t="n">
        <x:f>IF(ISNUMBER(H171),1,0)</x:f>
        <x:v>0</x:v>
      </x:c>
      <x:c r="AB171" s="44" t="n">
        <x:f>IF(ISNUMBER(I171),1,0)</x:f>
        <x:v>0</x:v>
      </x:c>
      <x:c r="AC171" s="44" t="n">
        <x:f>IF(ISNUMBER(T171),1,0)</x:f>
        <x:v>0</x:v>
      </x:c>
      <x:c r="AD171" s="44" t="n">
        <x:f>IF(ISNUMBER(U171),1,0)</x:f>
        <x:v>0</x:v>
      </x:c>
      <x:c r="AE171" s="44" t="n">
        <x:f>IF(ISNUMBER(V171),1,0)</x:f>
        <x:v>0</x:v>
      </x:c>
      <x:c r="AF171" s="44" t="n">
        <x:f>IF(ISNUMBER(W171),1,0)</x:f>
        <x:v>0</x:v>
      </x:c>
      <x:c r="AG171" s="44" t="n">
        <x:f>IF(ISNUMBER(X171),1,0)</x:f>
        <x:v>0</x:v>
      </x:c>
      <x:c r="AH171" s="44" t="n">
        <x:f>IF(ISNUMBER(P171),1,0)</x:f>
        <x:v>0</x:v>
      </x:c>
      <x:c r="AI171" s="44" t="n">
        <x:f>IF(ISNUMBER(O171),1,0)</x:f>
        <x:v>0</x:v>
      </x:c>
    </x:row>
    <x:row r="172" ht="22" customHeight="1">
      <x:c r="A172" s="26"/>
      <x:c r="B172" s="26"/>
      <x:c r="C172" s="14"/>
      <x:c r="D172" s="14"/>
      <x:c r="E172" s="14"/>
      <x:c r="F172" s="28"/>
      <x:c r="G172" s="14"/>
      <x:c r="H172" s="30"/>
      <x:c r="I172" s="30"/>
      <x:c r="J172" s="30"/>
      <x:c r="K172" s="30"/>
      <x:c r="L172" s="30"/>
      <x:c r="M172" s="30"/>
      <x:c r="N172" s="30"/>
      <x:c r="O172" s="32"/>
      <x:c r="P172" s="34"/>
      <x:c r="Q172" s="14"/>
      <x:c r="R172" s="14"/>
      <x:c r="S172" s="36" t="str">
        <x:f>IF(COUNT(J172:M172)&lt;4,"",SUM(J172:M172))</x:f>
      </x:c>
      <x:c r="T172" s="38" t="str">
        <x:f>IF(OR(S172="",I172="",I172&lt;=0),"",S172/I172)</x:f>
      </x:c>
      <x:c r="U172" s="38" t="str">
        <x:f>IF(OR(L172="",I172="",I172&lt;=0),"",L172/I172)</x:f>
      </x:c>
      <x:c r="V172" s="38" t="str">
        <x:f>IF(OR(M172="",I172="",I172&lt;=0),"",M172/I172)</x:f>
      </x:c>
      <x:c r="W172" s="38" t="str">
        <x:f>IF(OR(N172="",I172="",I172&lt;=0),"",N172/I172)</x:f>
      </x:c>
      <x:c r="X172" s="38" t="str">
        <x:f>IF(OR(O172="",F172="",F172&lt;=0),"",O172/F172)</x:f>
      </x:c>
      <x:c r="Y172" s="40" t="str">
        <x:f>IF(OR(A172="",B172=""),"",B172-A172)</x:f>
      </x:c>
      <x:c r="Z172" s="8" t="str">
        <x:f>IF(COUNTA(A172:R172)=0,"",IF(OR(A172="",B172="",C172="",G172="",H172=""),"INCOMPLETO",IF(B172&lt;A172,"DATA INVÁLIDA",IF(AND(G172="7d",OR(Y172&lt;7,Y172&gt;10)),"FORA DA JANELA",IF(AND(G172="30d",OR(Y172&lt;30,Y172&gt;35)),"FORA DA JANELA",IF(COUNTIFS($C$2:$C$201,C172,$G$2:$G$201,G172)&gt;1,"DUPLICADO","OK"))))))</x:f>
      </x:c>
      <x:c r="AA172" s="44" t="n">
        <x:f>IF(ISNUMBER(H172),1,0)</x:f>
        <x:v>0</x:v>
      </x:c>
      <x:c r="AB172" s="44" t="n">
        <x:f>IF(ISNUMBER(I172),1,0)</x:f>
        <x:v>0</x:v>
      </x:c>
      <x:c r="AC172" s="44" t="n">
        <x:f>IF(ISNUMBER(T172),1,0)</x:f>
        <x:v>0</x:v>
      </x:c>
      <x:c r="AD172" s="44" t="n">
        <x:f>IF(ISNUMBER(U172),1,0)</x:f>
        <x:v>0</x:v>
      </x:c>
      <x:c r="AE172" s="44" t="n">
        <x:f>IF(ISNUMBER(V172),1,0)</x:f>
        <x:v>0</x:v>
      </x:c>
      <x:c r="AF172" s="44" t="n">
        <x:f>IF(ISNUMBER(W172),1,0)</x:f>
        <x:v>0</x:v>
      </x:c>
      <x:c r="AG172" s="44" t="n">
        <x:f>IF(ISNUMBER(X172),1,0)</x:f>
        <x:v>0</x:v>
      </x:c>
      <x:c r="AH172" s="44" t="n">
        <x:f>IF(ISNUMBER(P172),1,0)</x:f>
        <x:v>0</x:v>
      </x:c>
      <x:c r="AI172" s="44" t="n">
        <x:f>IF(ISNUMBER(O172),1,0)</x:f>
        <x:v>0</x:v>
      </x:c>
    </x:row>
    <x:row r="173" ht="22" customHeight="1">
      <x:c r="A173" s="26"/>
      <x:c r="B173" s="26"/>
      <x:c r="C173" s="14"/>
      <x:c r="D173" s="14"/>
      <x:c r="E173" s="14"/>
      <x:c r="F173" s="28"/>
      <x:c r="G173" s="14"/>
      <x:c r="H173" s="30"/>
      <x:c r="I173" s="30"/>
      <x:c r="J173" s="30"/>
      <x:c r="K173" s="30"/>
      <x:c r="L173" s="30"/>
      <x:c r="M173" s="30"/>
      <x:c r="N173" s="30"/>
      <x:c r="O173" s="32"/>
      <x:c r="P173" s="34"/>
      <x:c r="Q173" s="14"/>
      <x:c r="R173" s="14"/>
      <x:c r="S173" s="36" t="str">
        <x:f>IF(COUNT(J173:M173)&lt;4,"",SUM(J173:M173))</x:f>
      </x:c>
      <x:c r="T173" s="38" t="str">
        <x:f>IF(OR(S173="",I173="",I173&lt;=0),"",S173/I173)</x:f>
      </x:c>
      <x:c r="U173" s="38" t="str">
        <x:f>IF(OR(L173="",I173="",I173&lt;=0),"",L173/I173)</x:f>
      </x:c>
      <x:c r="V173" s="38" t="str">
        <x:f>IF(OR(M173="",I173="",I173&lt;=0),"",M173/I173)</x:f>
      </x:c>
      <x:c r="W173" s="38" t="str">
        <x:f>IF(OR(N173="",I173="",I173&lt;=0),"",N173/I173)</x:f>
      </x:c>
      <x:c r="X173" s="38" t="str">
        <x:f>IF(OR(O173="",F173="",F173&lt;=0),"",O173/F173)</x:f>
      </x:c>
      <x:c r="Y173" s="40" t="str">
        <x:f>IF(OR(A173="",B173=""),"",B173-A173)</x:f>
      </x:c>
      <x:c r="Z173" s="8" t="str">
        <x:f>IF(COUNTA(A173:R173)=0,"",IF(OR(A173="",B173="",C173="",G173="",H173=""),"INCOMPLETO",IF(B173&lt;A173,"DATA INVÁLIDA",IF(AND(G173="7d",OR(Y173&lt;7,Y173&gt;10)),"FORA DA JANELA",IF(AND(G173="30d",OR(Y173&lt;30,Y173&gt;35)),"FORA DA JANELA",IF(COUNTIFS($C$2:$C$201,C173,$G$2:$G$201,G173)&gt;1,"DUPLICADO","OK"))))))</x:f>
      </x:c>
      <x:c r="AA173" s="44" t="n">
        <x:f>IF(ISNUMBER(H173),1,0)</x:f>
        <x:v>0</x:v>
      </x:c>
      <x:c r="AB173" s="44" t="n">
        <x:f>IF(ISNUMBER(I173),1,0)</x:f>
        <x:v>0</x:v>
      </x:c>
      <x:c r="AC173" s="44" t="n">
        <x:f>IF(ISNUMBER(T173),1,0)</x:f>
        <x:v>0</x:v>
      </x:c>
      <x:c r="AD173" s="44" t="n">
        <x:f>IF(ISNUMBER(U173),1,0)</x:f>
        <x:v>0</x:v>
      </x:c>
      <x:c r="AE173" s="44" t="n">
        <x:f>IF(ISNUMBER(V173),1,0)</x:f>
        <x:v>0</x:v>
      </x:c>
      <x:c r="AF173" s="44" t="n">
        <x:f>IF(ISNUMBER(W173),1,0)</x:f>
        <x:v>0</x:v>
      </x:c>
      <x:c r="AG173" s="44" t="n">
        <x:f>IF(ISNUMBER(X173),1,0)</x:f>
        <x:v>0</x:v>
      </x:c>
      <x:c r="AH173" s="44" t="n">
        <x:f>IF(ISNUMBER(P173),1,0)</x:f>
        <x:v>0</x:v>
      </x:c>
      <x:c r="AI173" s="44" t="n">
        <x:f>IF(ISNUMBER(O173),1,0)</x:f>
        <x:v>0</x:v>
      </x:c>
    </x:row>
    <x:row r="174" ht="22" customHeight="1">
      <x:c r="A174" s="26"/>
      <x:c r="B174" s="26"/>
      <x:c r="C174" s="14"/>
      <x:c r="D174" s="14"/>
      <x:c r="E174" s="14"/>
      <x:c r="F174" s="28"/>
      <x:c r="G174" s="14"/>
      <x:c r="H174" s="30"/>
      <x:c r="I174" s="30"/>
      <x:c r="J174" s="30"/>
      <x:c r="K174" s="30"/>
      <x:c r="L174" s="30"/>
      <x:c r="M174" s="30"/>
      <x:c r="N174" s="30"/>
      <x:c r="O174" s="32"/>
      <x:c r="P174" s="34"/>
      <x:c r="Q174" s="14"/>
      <x:c r="R174" s="14"/>
      <x:c r="S174" s="36" t="str">
        <x:f>IF(COUNT(J174:M174)&lt;4,"",SUM(J174:M174))</x:f>
      </x:c>
      <x:c r="T174" s="38" t="str">
        <x:f>IF(OR(S174="",I174="",I174&lt;=0),"",S174/I174)</x:f>
      </x:c>
      <x:c r="U174" s="38" t="str">
        <x:f>IF(OR(L174="",I174="",I174&lt;=0),"",L174/I174)</x:f>
      </x:c>
      <x:c r="V174" s="38" t="str">
        <x:f>IF(OR(M174="",I174="",I174&lt;=0),"",M174/I174)</x:f>
      </x:c>
      <x:c r="W174" s="38" t="str">
        <x:f>IF(OR(N174="",I174="",I174&lt;=0),"",N174/I174)</x:f>
      </x:c>
      <x:c r="X174" s="38" t="str">
        <x:f>IF(OR(O174="",F174="",F174&lt;=0),"",O174/F174)</x:f>
      </x:c>
      <x:c r="Y174" s="40" t="str">
        <x:f>IF(OR(A174="",B174=""),"",B174-A174)</x:f>
      </x:c>
      <x:c r="Z174" s="8" t="str">
        <x:f>IF(COUNTA(A174:R174)=0,"",IF(OR(A174="",B174="",C174="",G174="",H174=""),"INCOMPLETO",IF(B174&lt;A174,"DATA INVÁLIDA",IF(AND(G174="7d",OR(Y174&lt;7,Y174&gt;10)),"FORA DA JANELA",IF(AND(G174="30d",OR(Y174&lt;30,Y174&gt;35)),"FORA DA JANELA",IF(COUNTIFS($C$2:$C$201,C174,$G$2:$G$201,G174)&gt;1,"DUPLICADO","OK"))))))</x:f>
      </x:c>
      <x:c r="AA174" s="44" t="n">
        <x:f>IF(ISNUMBER(H174),1,0)</x:f>
        <x:v>0</x:v>
      </x:c>
      <x:c r="AB174" s="44" t="n">
        <x:f>IF(ISNUMBER(I174),1,0)</x:f>
        <x:v>0</x:v>
      </x:c>
      <x:c r="AC174" s="44" t="n">
        <x:f>IF(ISNUMBER(T174),1,0)</x:f>
        <x:v>0</x:v>
      </x:c>
      <x:c r="AD174" s="44" t="n">
        <x:f>IF(ISNUMBER(U174),1,0)</x:f>
        <x:v>0</x:v>
      </x:c>
      <x:c r="AE174" s="44" t="n">
        <x:f>IF(ISNUMBER(V174),1,0)</x:f>
        <x:v>0</x:v>
      </x:c>
      <x:c r="AF174" s="44" t="n">
        <x:f>IF(ISNUMBER(W174),1,0)</x:f>
        <x:v>0</x:v>
      </x:c>
      <x:c r="AG174" s="44" t="n">
        <x:f>IF(ISNUMBER(X174),1,0)</x:f>
        <x:v>0</x:v>
      </x:c>
      <x:c r="AH174" s="44" t="n">
        <x:f>IF(ISNUMBER(P174),1,0)</x:f>
        <x:v>0</x:v>
      </x:c>
      <x:c r="AI174" s="44" t="n">
        <x:f>IF(ISNUMBER(O174),1,0)</x:f>
        <x:v>0</x:v>
      </x:c>
    </x:row>
    <x:row r="175" ht="22" customHeight="1">
      <x:c r="A175" s="26"/>
      <x:c r="B175" s="26"/>
      <x:c r="C175" s="14"/>
      <x:c r="D175" s="14"/>
      <x:c r="E175" s="14"/>
      <x:c r="F175" s="28"/>
      <x:c r="G175" s="14"/>
      <x:c r="H175" s="30"/>
      <x:c r="I175" s="30"/>
      <x:c r="J175" s="30"/>
      <x:c r="K175" s="30"/>
      <x:c r="L175" s="30"/>
      <x:c r="M175" s="30"/>
      <x:c r="N175" s="30"/>
      <x:c r="O175" s="32"/>
      <x:c r="P175" s="34"/>
      <x:c r="Q175" s="14"/>
      <x:c r="R175" s="14"/>
      <x:c r="S175" s="36" t="str">
        <x:f>IF(COUNT(J175:M175)&lt;4,"",SUM(J175:M175))</x:f>
      </x:c>
      <x:c r="T175" s="38" t="str">
        <x:f>IF(OR(S175="",I175="",I175&lt;=0),"",S175/I175)</x:f>
      </x:c>
      <x:c r="U175" s="38" t="str">
        <x:f>IF(OR(L175="",I175="",I175&lt;=0),"",L175/I175)</x:f>
      </x:c>
      <x:c r="V175" s="38" t="str">
        <x:f>IF(OR(M175="",I175="",I175&lt;=0),"",M175/I175)</x:f>
      </x:c>
      <x:c r="W175" s="38" t="str">
        <x:f>IF(OR(N175="",I175="",I175&lt;=0),"",N175/I175)</x:f>
      </x:c>
      <x:c r="X175" s="38" t="str">
        <x:f>IF(OR(O175="",F175="",F175&lt;=0),"",O175/F175)</x:f>
      </x:c>
      <x:c r="Y175" s="40" t="str">
        <x:f>IF(OR(A175="",B175=""),"",B175-A175)</x:f>
      </x:c>
      <x:c r="Z175" s="8" t="str">
        <x:f>IF(COUNTA(A175:R175)=0,"",IF(OR(A175="",B175="",C175="",G175="",H175=""),"INCOMPLETO",IF(B175&lt;A175,"DATA INVÁLIDA",IF(AND(G175="7d",OR(Y175&lt;7,Y175&gt;10)),"FORA DA JANELA",IF(AND(G175="30d",OR(Y175&lt;30,Y175&gt;35)),"FORA DA JANELA",IF(COUNTIFS($C$2:$C$201,C175,$G$2:$G$201,G175)&gt;1,"DUPLICADO","OK"))))))</x:f>
      </x:c>
      <x:c r="AA175" s="44" t="n">
        <x:f>IF(ISNUMBER(H175),1,0)</x:f>
        <x:v>0</x:v>
      </x:c>
      <x:c r="AB175" s="44" t="n">
        <x:f>IF(ISNUMBER(I175),1,0)</x:f>
        <x:v>0</x:v>
      </x:c>
      <x:c r="AC175" s="44" t="n">
        <x:f>IF(ISNUMBER(T175),1,0)</x:f>
        <x:v>0</x:v>
      </x:c>
      <x:c r="AD175" s="44" t="n">
        <x:f>IF(ISNUMBER(U175),1,0)</x:f>
        <x:v>0</x:v>
      </x:c>
      <x:c r="AE175" s="44" t="n">
        <x:f>IF(ISNUMBER(V175),1,0)</x:f>
        <x:v>0</x:v>
      </x:c>
      <x:c r="AF175" s="44" t="n">
        <x:f>IF(ISNUMBER(W175),1,0)</x:f>
        <x:v>0</x:v>
      </x:c>
      <x:c r="AG175" s="44" t="n">
        <x:f>IF(ISNUMBER(X175),1,0)</x:f>
        <x:v>0</x:v>
      </x:c>
      <x:c r="AH175" s="44" t="n">
        <x:f>IF(ISNUMBER(P175),1,0)</x:f>
        <x:v>0</x:v>
      </x:c>
      <x:c r="AI175" s="44" t="n">
        <x:f>IF(ISNUMBER(O175),1,0)</x:f>
        <x:v>0</x:v>
      </x:c>
    </x:row>
    <x:row r="176" ht="22" customHeight="1">
      <x:c r="A176" s="26"/>
      <x:c r="B176" s="26"/>
      <x:c r="C176" s="14"/>
      <x:c r="D176" s="14"/>
      <x:c r="E176" s="14"/>
      <x:c r="F176" s="28"/>
      <x:c r="G176" s="14"/>
      <x:c r="H176" s="30"/>
      <x:c r="I176" s="30"/>
      <x:c r="J176" s="30"/>
      <x:c r="K176" s="30"/>
      <x:c r="L176" s="30"/>
      <x:c r="M176" s="30"/>
      <x:c r="N176" s="30"/>
      <x:c r="O176" s="32"/>
      <x:c r="P176" s="34"/>
      <x:c r="Q176" s="14"/>
      <x:c r="R176" s="14"/>
      <x:c r="S176" s="36" t="str">
        <x:f>IF(COUNT(J176:M176)&lt;4,"",SUM(J176:M176))</x:f>
      </x:c>
      <x:c r="T176" s="38" t="str">
        <x:f>IF(OR(S176="",I176="",I176&lt;=0),"",S176/I176)</x:f>
      </x:c>
      <x:c r="U176" s="38" t="str">
        <x:f>IF(OR(L176="",I176="",I176&lt;=0),"",L176/I176)</x:f>
      </x:c>
      <x:c r="V176" s="38" t="str">
        <x:f>IF(OR(M176="",I176="",I176&lt;=0),"",M176/I176)</x:f>
      </x:c>
      <x:c r="W176" s="38" t="str">
        <x:f>IF(OR(N176="",I176="",I176&lt;=0),"",N176/I176)</x:f>
      </x:c>
      <x:c r="X176" s="38" t="str">
        <x:f>IF(OR(O176="",F176="",F176&lt;=0),"",O176/F176)</x:f>
      </x:c>
      <x:c r="Y176" s="40" t="str">
        <x:f>IF(OR(A176="",B176=""),"",B176-A176)</x:f>
      </x:c>
      <x:c r="Z176" s="8" t="str">
        <x:f>IF(COUNTA(A176:R176)=0,"",IF(OR(A176="",B176="",C176="",G176="",H176=""),"INCOMPLETO",IF(B176&lt;A176,"DATA INVÁLIDA",IF(AND(G176="7d",OR(Y176&lt;7,Y176&gt;10)),"FORA DA JANELA",IF(AND(G176="30d",OR(Y176&lt;30,Y176&gt;35)),"FORA DA JANELA",IF(COUNTIFS($C$2:$C$201,C176,$G$2:$G$201,G176)&gt;1,"DUPLICADO","OK"))))))</x:f>
      </x:c>
      <x:c r="AA176" s="44" t="n">
        <x:f>IF(ISNUMBER(H176),1,0)</x:f>
        <x:v>0</x:v>
      </x:c>
      <x:c r="AB176" s="44" t="n">
        <x:f>IF(ISNUMBER(I176),1,0)</x:f>
        <x:v>0</x:v>
      </x:c>
      <x:c r="AC176" s="44" t="n">
        <x:f>IF(ISNUMBER(T176),1,0)</x:f>
        <x:v>0</x:v>
      </x:c>
      <x:c r="AD176" s="44" t="n">
        <x:f>IF(ISNUMBER(U176),1,0)</x:f>
        <x:v>0</x:v>
      </x:c>
      <x:c r="AE176" s="44" t="n">
        <x:f>IF(ISNUMBER(V176),1,0)</x:f>
        <x:v>0</x:v>
      </x:c>
      <x:c r="AF176" s="44" t="n">
        <x:f>IF(ISNUMBER(W176),1,0)</x:f>
        <x:v>0</x:v>
      </x:c>
      <x:c r="AG176" s="44" t="n">
        <x:f>IF(ISNUMBER(X176),1,0)</x:f>
        <x:v>0</x:v>
      </x:c>
      <x:c r="AH176" s="44" t="n">
        <x:f>IF(ISNUMBER(P176),1,0)</x:f>
        <x:v>0</x:v>
      </x:c>
      <x:c r="AI176" s="44" t="n">
        <x:f>IF(ISNUMBER(O176),1,0)</x:f>
        <x:v>0</x:v>
      </x:c>
    </x:row>
    <x:row r="177" ht="22" customHeight="1">
      <x:c r="A177" s="26"/>
      <x:c r="B177" s="26"/>
      <x:c r="C177" s="14"/>
      <x:c r="D177" s="14"/>
      <x:c r="E177" s="14"/>
      <x:c r="F177" s="28"/>
      <x:c r="G177" s="14"/>
      <x:c r="H177" s="30"/>
      <x:c r="I177" s="30"/>
      <x:c r="J177" s="30"/>
      <x:c r="K177" s="30"/>
      <x:c r="L177" s="30"/>
      <x:c r="M177" s="30"/>
      <x:c r="N177" s="30"/>
      <x:c r="O177" s="32"/>
      <x:c r="P177" s="34"/>
      <x:c r="Q177" s="14"/>
      <x:c r="R177" s="14"/>
      <x:c r="S177" s="36" t="str">
        <x:f>IF(COUNT(J177:M177)&lt;4,"",SUM(J177:M177))</x:f>
      </x:c>
      <x:c r="T177" s="38" t="str">
        <x:f>IF(OR(S177="",I177="",I177&lt;=0),"",S177/I177)</x:f>
      </x:c>
      <x:c r="U177" s="38" t="str">
        <x:f>IF(OR(L177="",I177="",I177&lt;=0),"",L177/I177)</x:f>
      </x:c>
      <x:c r="V177" s="38" t="str">
        <x:f>IF(OR(M177="",I177="",I177&lt;=0),"",M177/I177)</x:f>
      </x:c>
      <x:c r="W177" s="38" t="str">
        <x:f>IF(OR(N177="",I177="",I177&lt;=0),"",N177/I177)</x:f>
      </x:c>
      <x:c r="X177" s="38" t="str">
        <x:f>IF(OR(O177="",F177="",F177&lt;=0),"",O177/F177)</x:f>
      </x:c>
      <x:c r="Y177" s="40" t="str">
        <x:f>IF(OR(A177="",B177=""),"",B177-A177)</x:f>
      </x:c>
      <x:c r="Z177" s="8" t="str">
        <x:f>IF(COUNTA(A177:R177)=0,"",IF(OR(A177="",B177="",C177="",G177="",H177=""),"INCOMPLETO",IF(B177&lt;A177,"DATA INVÁLIDA",IF(AND(G177="7d",OR(Y177&lt;7,Y177&gt;10)),"FORA DA JANELA",IF(AND(G177="30d",OR(Y177&lt;30,Y177&gt;35)),"FORA DA JANELA",IF(COUNTIFS($C$2:$C$201,C177,$G$2:$G$201,G177)&gt;1,"DUPLICADO","OK"))))))</x:f>
      </x:c>
      <x:c r="AA177" s="44" t="n">
        <x:f>IF(ISNUMBER(H177),1,0)</x:f>
        <x:v>0</x:v>
      </x:c>
      <x:c r="AB177" s="44" t="n">
        <x:f>IF(ISNUMBER(I177),1,0)</x:f>
        <x:v>0</x:v>
      </x:c>
      <x:c r="AC177" s="44" t="n">
        <x:f>IF(ISNUMBER(T177),1,0)</x:f>
        <x:v>0</x:v>
      </x:c>
      <x:c r="AD177" s="44" t="n">
        <x:f>IF(ISNUMBER(U177),1,0)</x:f>
        <x:v>0</x:v>
      </x:c>
      <x:c r="AE177" s="44" t="n">
        <x:f>IF(ISNUMBER(V177),1,0)</x:f>
        <x:v>0</x:v>
      </x:c>
      <x:c r="AF177" s="44" t="n">
        <x:f>IF(ISNUMBER(W177),1,0)</x:f>
        <x:v>0</x:v>
      </x:c>
      <x:c r="AG177" s="44" t="n">
        <x:f>IF(ISNUMBER(X177),1,0)</x:f>
        <x:v>0</x:v>
      </x:c>
      <x:c r="AH177" s="44" t="n">
        <x:f>IF(ISNUMBER(P177),1,0)</x:f>
        <x:v>0</x:v>
      </x:c>
      <x:c r="AI177" s="44" t="n">
        <x:f>IF(ISNUMBER(O177),1,0)</x:f>
        <x:v>0</x:v>
      </x:c>
    </x:row>
    <x:row r="178" ht="22" customHeight="1">
      <x:c r="A178" s="26"/>
      <x:c r="B178" s="26"/>
      <x:c r="C178" s="14"/>
      <x:c r="D178" s="14"/>
      <x:c r="E178" s="14"/>
      <x:c r="F178" s="28"/>
      <x:c r="G178" s="14"/>
      <x:c r="H178" s="30"/>
      <x:c r="I178" s="30"/>
      <x:c r="J178" s="30"/>
      <x:c r="K178" s="30"/>
      <x:c r="L178" s="30"/>
      <x:c r="M178" s="30"/>
      <x:c r="N178" s="30"/>
      <x:c r="O178" s="32"/>
      <x:c r="P178" s="34"/>
      <x:c r="Q178" s="14"/>
      <x:c r="R178" s="14"/>
      <x:c r="S178" s="36" t="str">
        <x:f>IF(COUNT(J178:M178)&lt;4,"",SUM(J178:M178))</x:f>
      </x:c>
      <x:c r="T178" s="38" t="str">
        <x:f>IF(OR(S178="",I178="",I178&lt;=0),"",S178/I178)</x:f>
      </x:c>
      <x:c r="U178" s="38" t="str">
        <x:f>IF(OR(L178="",I178="",I178&lt;=0),"",L178/I178)</x:f>
      </x:c>
      <x:c r="V178" s="38" t="str">
        <x:f>IF(OR(M178="",I178="",I178&lt;=0),"",M178/I178)</x:f>
      </x:c>
      <x:c r="W178" s="38" t="str">
        <x:f>IF(OR(N178="",I178="",I178&lt;=0),"",N178/I178)</x:f>
      </x:c>
      <x:c r="X178" s="38" t="str">
        <x:f>IF(OR(O178="",F178="",F178&lt;=0),"",O178/F178)</x:f>
      </x:c>
      <x:c r="Y178" s="40" t="str">
        <x:f>IF(OR(A178="",B178=""),"",B178-A178)</x:f>
      </x:c>
      <x:c r="Z178" s="8" t="str">
        <x:f>IF(COUNTA(A178:R178)=0,"",IF(OR(A178="",B178="",C178="",G178="",H178=""),"INCOMPLETO",IF(B178&lt;A178,"DATA INVÁLIDA",IF(AND(G178="7d",OR(Y178&lt;7,Y178&gt;10)),"FORA DA JANELA",IF(AND(G178="30d",OR(Y178&lt;30,Y178&gt;35)),"FORA DA JANELA",IF(COUNTIFS($C$2:$C$201,C178,$G$2:$G$201,G178)&gt;1,"DUPLICADO","OK"))))))</x:f>
      </x:c>
      <x:c r="AA178" s="44" t="n">
        <x:f>IF(ISNUMBER(H178),1,0)</x:f>
        <x:v>0</x:v>
      </x:c>
      <x:c r="AB178" s="44" t="n">
        <x:f>IF(ISNUMBER(I178),1,0)</x:f>
        <x:v>0</x:v>
      </x:c>
      <x:c r="AC178" s="44" t="n">
        <x:f>IF(ISNUMBER(T178),1,0)</x:f>
        <x:v>0</x:v>
      </x:c>
      <x:c r="AD178" s="44" t="n">
        <x:f>IF(ISNUMBER(U178),1,0)</x:f>
        <x:v>0</x:v>
      </x:c>
      <x:c r="AE178" s="44" t="n">
        <x:f>IF(ISNUMBER(V178),1,0)</x:f>
        <x:v>0</x:v>
      </x:c>
      <x:c r="AF178" s="44" t="n">
        <x:f>IF(ISNUMBER(W178),1,0)</x:f>
        <x:v>0</x:v>
      </x:c>
      <x:c r="AG178" s="44" t="n">
        <x:f>IF(ISNUMBER(X178),1,0)</x:f>
        <x:v>0</x:v>
      </x:c>
      <x:c r="AH178" s="44" t="n">
        <x:f>IF(ISNUMBER(P178),1,0)</x:f>
        <x:v>0</x:v>
      </x:c>
      <x:c r="AI178" s="44" t="n">
        <x:f>IF(ISNUMBER(O178),1,0)</x:f>
        <x:v>0</x:v>
      </x:c>
    </x:row>
    <x:row r="179" ht="22" customHeight="1">
      <x:c r="A179" s="26"/>
      <x:c r="B179" s="26"/>
      <x:c r="C179" s="14"/>
      <x:c r="D179" s="14"/>
      <x:c r="E179" s="14"/>
      <x:c r="F179" s="28"/>
      <x:c r="G179" s="14"/>
      <x:c r="H179" s="30"/>
      <x:c r="I179" s="30"/>
      <x:c r="J179" s="30"/>
      <x:c r="K179" s="30"/>
      <x:c r="L179" s="30"/>
      <x:c r="M179" s="30"/>
      <x:c r="N179" s="30"/>
      <x:c r="O179" s="32"/>
      <x:c r="P179" s="34"/>
      <x:c r="Q179" s="14"/>
      <x:c r="R179" s="14"/>
      <x:c r="S179" s="36" t="str">
        <x:f>IF(COUNT(J179:M179)&lt;4,"",SUM(J179:M179))</x:f>
      </x:c>
      <x:c r="T179" s="38" t="str">
        <x:f>IF(OR(S179="",I179="",I179&lt;=0),"",S179/I179)</x:f>
      </x:c>
      <x:c r="U179" s="38" t="str">
        <x:f>IF(OR(L179="",I179="",I179&lt;=0),"",L179/I179)</x:f>
      </x:c>
      <x:c r="V179" s="38" t="str">
        <x:f>IF(OR(M179="",I179="",I179&lt;=0),"",M179/I179)</x:f>
      </x:c>
      <x:c r="W179" s="38" t="str">
        <x:f>IF(OR(N179="",I179="",I179&lt;=0),"",N179/I179)</x:f>
      </x:c>
      <x:c r="X179" s="38" t="str">
        <x:f>IF(OR(O179="",F179="",F179&lt;=0),"",O179/F179)</x:f>
      </x:c>
      <x:c r="Y179" s="40" t="str">
        <x:f>IF(OR(A179="",B179=""),"",B179-A179)</x:f>
      </x:c>
      <x:c r="Z179" s="8" t="str">
        <x:f>IF(COUNTA(A179:R179)=0,"",IF(OR(A179="",B179="",C179="",G179="",H179=""),"INCOMPLETO",IF(B179&lt;A179,"DATA INVÁLIDA",IF(AND(G179="7d",OR(Y179&lt;7,Y179&gt;10)),"FORA DA JANELA",IF(AND(G179="30d",OR(Y179&lt;30,Y179&gt;35)),"FORA DA JANELA",IF(COUNTIFS($C$2:$C$201,C179,$G$2:$G$201,G179)&gt;1,"DUPLICADO","OK"))))))</x:f>
      </x:c>
      <x:c r="AA179" s="44" t="n">
        <x:f>IF(ISNUMBER(H179),1,0)</x:f>
        <x:v>0</x:v>
      </x:c>
      <x:c r="AB179" s="44" t="n">
        <x:f>IF(ISNUMBER(I179),1,0)</x:f>
        <x:v>0</x:v>
      </x:c>
      <x:c r="AC179" s="44" t="n">
        <x:f>IF(ISNUMBER(T179),1,0)</x:f>
        <x:v>0</x:v>
      </x:c>
      <x:c r="AD179" s="44" t="n">
        <x:f>IF(ISNUMBER(U179),1,0)</x:f>
        <x:v>0</x:v>
      </x:c>
      <x:c r="AE179" s="44" t="n">
        <x:f>IF(ISNUMBER(V179),1,0)</x:f>
        <x:v>0</x:v>
      </x:c>
      <x:c r="AF179" s="44" t="n">
        <x:f>IF(ISNUMBER(W179),1,0)</x:f>
        <x:v>0</x:v>
      </x:c>
      <x:c r="AG179" s="44" t="n">
        <x:f>IF(ISNUMBER(X179),1,0)</x:f>
        <x:v>0</x:v>
      </x:c>
      <x:c r="AH179" s="44" t="n">
        <x:f>IF(ISNUMBER(P179),1,0)</x:f>
        <x:v>0</x:v>
      </x:c>
      <x:c r="AI179" s="44" t="n">
        <x:f>IF(ISNUMBER(O179),1,0)</x:f>
        <x:v>0</x:v>
      </x:c>
    </x:row>
    <x:row r="180" ht="22" customHeight="1">
      <x:c r="A180" s="26"/>
      <x:c r="B180" s="26"/>
      <x:c r="C180" s="14"/>
      <x:c r="D180" s="14"/>
      <x:c r="E180" s="14"/>
      <x:c r="F180" s="28"/>
      <x:c r="G180" s="14"/>
      <x:c r="H180" s="30"/>
      <x:c r="I180" s="30"/>
      <x:c r="J180" s="30"/>
      <x:c r="K180" s="30"/>
      <x:c r="L180" s="30"/>
      <x:c r="M180" s="30"/>
      <x:c r="N180" s="30"/>
      <x:c r="O180" s="32"/>
      <x:c r="P180" s="34"/>
      <x:c r="Q180" s="14"/>
      <x:c r="R180" s="14"/>
      <x:c r="S180" s="36" t="str">
        <x:f>IF(COUNT(J180:M180)&lt;4,"",SUM(J180:M180))</x:f>
      </x:c>
      <x:c r="T180" s="38" t="str">
        <x:f>IF(OR(S180="",I180="",I180&lt;=0),"",S180/I180)</x:f>
      </x:c>
      <x:c r="U180" s="38" t="str">
        <x:f>IF(OR(L180="",I180="",I180&lt;=0),"",L180/I180)</x:f>
      </x:c>
      <x:c r="V180" s="38" t="str">
        <x:f>IF(OR(M180="",I180="",I180&lt;=0),"",M180/I180)</x:f>
      </x:c>
      <x:c r="W180" s="38" t="str">
        <x:f>IF(OR(N180="",I180="",I180&lt;=0),"",N180/I180)</x:f>
      </x:c>
      <x:c r="X180" s="38" t="str">
        <x:f>IF(OR(O180="",F180="",F180&lt;=0),"",O180/F180)</x:f>
      </x:c>
      <x:c r="Y180" s="40" t="str">
        <x:f>IF(OR(A180="",B180=""),"",B180-A180)</x:f>
      </x:c>
      <x:c r="Z180" s="8" t="str">
        <x:f>IF(COUNTA(A180:R180)=0,"",IF(OR(A180="",B180="",C180="",G180="",H180=""),"INCOMPLETO",IF(B180&lt;A180,"DATA INVÁLIDA",IF(AND(G180="7d",OR(Y180&lt;7,Y180&gt;10)),"FORA DA JANELA",IF(AND(G180="30d",OR(Y180&lt;30,Y180&gt;35)),"FORA DA JANELA",IF(COUNTIFS($C$2:$C$201,C180,$G$2:$G$201,G180)&gt;1,"DUPLICADO","OK"))))))</x:f>
      </x:c>
      <x:c r="AA180" s="44" t="n">
        <x:f>IF(ISNUMBER(H180),1,0)</x:f>
        <x:v>0</x:v>
      </x:c>
      <x:c r="AB180" s="44" t="n">
        <x:f>IF(ISNUMBER(I180),1,0)</x:f>
        <x:v>0</x:v>
      </x:c>
      <x:c r="AC180" s="44" t="n">
        <x:f>IF(ISNUMBER(T180),1,0)</x:f>
        <x:v>0</x:v>
      </x:c>
      <x:c r="AD180" s="44" t="n">
        <x:f>IF(ISNUMBER(U180),1,0)</x:f>
        <x:v>0</x:v>
      </x:c>
      <x:c r="AE180" s="44" t="n">
        <x:f>IF(ISNUMBER(V180),1,0)</x:f>
        <x:v>0</x:v>
      </x:c>
      <x:c r="AF180" s="44" t="n">
        <x:f>IF(ISNUMBER(W180),1,0)</x:f>
        <x:v>0</x:v>
      </x:c>
      <x:c r="AG180" s="44" t="n">
        <x:f>IF(ISNUMBER(X180),1,0)</x:f>
        <x:v>0</x:v>
      </x:c>
      <x:c r="AH180" s="44" t="n">
        <x:f>IF(ISNUMBER(P180),1,0)</x:f>
        <x:v>0</x:v>
      </x:c>
      <x:c r="AI180" s="44" t="n">
        <x:f>IF(ISNUMBER(O180),1,0)</x:f>
        <x:v>0</x:v>
      </x:c>
    </x:row>
    <x:row r="181" ht="22" customHeight="1">
      <x:c r="A181" s="26"/>
      <x:c r="B181" s="26"/>
      <x:c r="C181" s="14"/>
      <x:c r="D181" s="14"/>
      <x:c r="E181" s="14"/>
      <x:c r="F181" s="28"/>
      <x:c r="G181" s="14"/>
      <x:c r="H181" s="30"/>
      <x:c r="I181" s="30"/>
      <x:c r="J181" s="30"/>
      <x:c r="K181" s="30"/>
      <x:c r="L181" s="30"/>
      <x:c r="M181" s="30"/>
      <x:c r="N181" s="30"/>
      <x:c r="O181" s="32"/>
      <x:c r="P181" s="34"/>
      <x:c r="Q181" s="14"/>
      <x:c r="R181" s="14"/>
      <x:c r="S181" s="36" t="str">
        <x:f>IF(COUNT(J181:M181)&lt;4,"",SUM(J181:M181))</x:f>
      </x:c>
      <x:c r="T181" s="38" t="str">
        <x:f>IF(OR(S181="",I181="",I181&lt;=0),"",S181/I181)</x:f>
      </x:c>
      <x:c r="U181" s="38" t="str">
        <x:f>IF(OR(L181="",I181="",I181&lt;=0),"",L181/I181)</x:f>
      </x:c>
      <x:c r="V181" s="38" t="str">
        <x:f>IF(OR(M181="",I181="",I181&lt;=0),"",M181/I181)</x:f>
      </x:c>
      <x:c r="W181" s="38" t="str">
        <x:f>IF(OR(N181="",I181="",I181&lt;=0),"",N181/I181)</x:f>
      </x:c>
      <x:c r="X181" s="38" t="str">
        <x:f>IF(OR(O181="",F181="",F181&lt;=0),"",O181/F181)</x:f>
      </x:c>
      <x:c r="Y181" s="40" t="str">
        <x:f>IF(OR(A181="",B181=""),"",B181-A181)</x:f>
      </x:c>
      <x:c r="Z181" s="8" t="str">
        <x:f>IF(COUNTA(A181:R181)=0,"",IF(OR(A181="",B181="",C181="",G181="",H181=""),"INCOMPLETO",IF(B181&lt;A181,"DATA INVÁLIDA",IF(AND(G181="7d",OR(Y181&lt;7,Y181&gt;10)),"FORA DA JANELA",IF(AND(G181="30d",OR(Y181&lt;30,Y181&gt;35)),"FORA DA JANELA",IF(COUNTIFS($C$2:$C$201,C181,$G$2:$G$201,G181)&gt;1,"DUPLICADO","OK"))))))</x:f>
      </x:c>
      <x:c r="AA181" s="44" t="n">
        <x:f>IF(ISNUMBER(H181),1,0)</x:f>
        <x:v>0</x:v>
      </x:c>
      <x:c r="AB181" s="44" t="n">
        <x:f>IF(ISNUMBER(I181),1,0)</x:f>
        <x:v>0</x:v>
      </x:c>
      <x:c r="AC181" s="44" t="n">
        <x:f>IF(ISNUMBER(T181),1,0)</x:f>
        <x:v>0</x:v>
      </x:c>
      <x:c r="AD181" s="44" t="n">
        <x:f>IF(ISNUMBER(U181),1,0)</x:f>
        <x:v>0</x:v>
      </x:c>
      <x:c r="AE181" s="44" t="n">
        <x:f>IF(ISNUMBER(V181),1,0)</x:f>
        <x:v>0</x:v>
      </x:c>
      <x:c r="AF181" s="44" t="n">
        <x:f>IF(ISNUMBER(W181),1,0)</x:f>
        <x:v>0</x:v>
      </x:c>
      <x:c r="AG181" s="44" t="n">
        <x:f>IF(ISNUMBER(X181),1,0)</x:f>
        <x:v>0</x:v>
      </x:c>
      <x:c r="AH181" s="44" t="n">
        <x:f>IF(ISNUMBER(P181),1,0)</x:f>
        <x:v>0</x:v>
      </x:c>
      <x:c r="AI181" s="44" t="n">
        <x:f>IF(ISNUMBER(O181),1,0)</x:f>
        <x:v>0</x:v>
      </x:c>
    </x:row>
    <x:row r="182" ht="22" customHeight="1">
      <x:c r="A182" s="26"/>
      <x:c r="B182" s="26"/>
      <x:c r="C182" s="14"/>
      <x:c r="D182" s="14"/>
      <x:c r="E182" s="14"/>
      <x:c r="F182" s="28"/>
      <x:c r="G182" s="14"/>
      <x:c r="H182" s="30"/>
      <x:c r="I182" s="30"/>
      <x:c r="J182" s="30"/>
      <x:c r="K182" s="30"/>
      <x:c r="L182" s="30"/>
      <x:c r="M182" s="30"/>
      <x:c r="N182" s="30"/>
      <x:c r="O182" s="32"/>
      <x:c r="P182" s="34"/>
      <x:c r="Q182" s="14"/>
      <x:c r="R182" s="14"/>
      <x:c r="S182" s="36" t="str">
        <x:f>IF(COUNT(J182:M182)&lt;4,"",SUM(J182:M182))</x:f>
      </x:c>
      <x:c r="T182" s="38" t="str">
        <x:f>IF(OR(S182="",I182="",I182&lt;=0),"",S182/I182)</x:f>
      </x:c>
      <x:c r="U182" s="38" t="str">
        <x:f>IF(OR(L182="",I182="",I182&lt;=0),"",L182/I182)</x:f>
      </x:c>
      <x:c r="V182" s="38" t="str">
        <x:f>IF(OR(M182="",I182="",I182&lt;=0),"",M182/I182)</x:f>
      </x:c>
      <x:c r="W182" s="38" t="str">
        <x:f>IF(OR(N182="",I182="",I182&lt;=0),"",N182/I182)</x:f>
      </x:c>
      <x:c r="X182" s="38" t="str">
        <x:f>IF(OR(O182="",F182="",F182&lt;=0),"",O182/F182)</x:f>
      </x:c>
      <x:c r="Y182" s="40" t="str">
        <x:f>IF(OR(A182="",B182=""),"",B182-A182)</x:f>
      </x:c>
      <x:c r="Z182" s="8" t="str">
        <x:f>IF(COUNTA(A182:R182)=0,"",IF(OR(A182="",B182="",C182="",G182="",H182=""),"INCOMPLETO",IF(B182&lt;A182,"DATA INVÁLIDA",IF(AND(G182="7d",OR(Y182&lt;7,Y182&gt;10)),"FORA DA JANELA",IF(AND(G182="30d",OR(Y182&lt;30,Y182&gt;35)),"FORA DA JANELA",IF(COUNTIFS($C$2:$C$201,C182,$G$2:$G$201,G182)&gt;1,"DUPLICADO","OK"))))))</x:f>
      </x:c>
      <x:c r="AA182" s="44" t="n">
        <x:f>IF(ISNUMBER(H182),1,0)</x:f>
        <x:v>0</x:v>
      </x:c>
      <x:c r="AB182" s="44" t="n">
        <x:f>IF(ISNUMBER(I182),1,0)</x:f>
        <x:v>0</x:v>
      </x:c>
      <x:c r="AC182" s="44" t="n">
        <x:f>IF(ISNUMBER(T182),1,0)</x:f>
        <x:v>0</x:v>
      </x:c>
      <x:c r="AD182" s="44" t="n">
        <x:f>IF(ISNUMBER(U182),1,0)</x:f>
        <x:v>0</x:v>
      </x:c>
      <x:c r="AE182" s="44" t="n">
        <x:f>IF(ISNUMBER(V182),1,0)</x:f>
        <x:v>0</x:v>
      </x:c>
      <x:c r="AF182" s="44" t="n">
        <x:f>IF(ISNUMBER(W182),1,0)</x:f>
        <x:v>0</x:v>
      </x:c>
      <x:c r="AG182" s="44" t="n">
        <x:f>IF(ISNUMBER(X182),1,0)</x:f>
        <x:v>0</x:v>
      </x:c>
      <x:c r="AH182" s="44" t="n">
        <x:f>IF(ISNUMBER(P182),1,0)</x:f>
        <x:v>0</x:v>
      </x:c>
      <x:c r="AI182" s="44" t="n">
        <x:f>IF(ISNUMBER(O182),1,0)</x:f>
        <x:v>0</x:v>
      </x:c>
    </x:row>
    <x:row r="183" ht="22" customHeight="1">
      <x:c r="A183" s="26"/>
      <x:c r="B183" s="26"/>
      <x:c r="C183" s="14"/>
      <x:c r="D183" s="14"/>
      <x:c r="E183" s="14"/>
      <x:c r="F183" s="28"/>
      <x:c r="G183" s="14"/>
      <x:c r="H183" s="30"/>
      <x:c r="I183" s="30"/>
      <x:c r="J183" s="30"/>
      <x:c r="K183" s="30"/>
      <x:c r="L183" s="30"/>
      <x:c r="M183" s="30"/>
      <x:c r="N183" s="30"/>
      <x:c r="O183" s="32"/>
      <x:c r="P183" s="34"/>
      <x:c r="Q183" s="14"/>
      <x:c r="R183" s="14"/>
      <x:c r="S183" s="36" t="str">
        <x:f>IF(COUNT(J183:M183)&lt;4,"",SUM(J183:M183))</x:f>
      </x:c>
      <x:c r="T183" s="38" t="str">
        <x:f>IF(OR(S183="",I183="",I183&lt;=0),"",S183/I183)</x:f>
      </x:c>
      <x:c r="U183" s="38" t="str">
        <x:f>IF(OR(L183="",I183="",I183&lt;=0),"",L183/I183)</x:f>
      </x:c>
      <x:c r="V183" s="38" t="str">
        <x:f>IF(OR(M183="",I183="",I183&lt;=0),"",M183/I183)</x:f>
      </x:c>
      <x:c r="W183" s="38" t="str">
        <x:f>IF(OR(N183="",I183="",I183&lt;=0),"",N183/I183)</x:f>
      </x:c>
      <x:c r="X183" s="38" t="str">
        <x:f>IF(OR(O183="",F183="",F183&lt;=0),"",O183/F183)</x:f>
      </x:c>
      <x:c r="Y183" s="40" t="str">
        <x:f>IF(OR(A183="",B183=""),"",B183-A183)</x:f>
      </x:c>
      <x:c r="Z183" s="8" t="str">
        <x:f>IF(COUNTA(A183:R183)=0,"",IF(OR(A183="",B183="",C183="",G183="",H183=""),"INCOMPLETO",IF(B183&lt;A183,"DATA INVÁLIDA",IF(AND(G183="7d",OR(Y183&lt;7,Y183&gt;10)),"FORA DA JANELA",IF(AND(G183="30d",OR(Y183&lt;30,Y183&gt;35)),"FORA DA JANELA",IF(COUNTIFS($C$2:$C$201,C183,$G$2:$G$201,G183)&gt;1,"DUPLICADO","OK"))))))</x:f>
      </x:c>
      <x:c r="AA183" s="44" t="n">
        <x:f>IF(ISNUMBER(H183),1,0)</x:f>
        <x:v>0</x:v>
      </x:c>
      <x:c r="AB183" s="44" t="n">
        <x:f>IF(ISNUMBER(I183),1,0)</x:f>
        <x:v>0</x:v>
      </x:c>
      <x:c r="AC183" s="44" t="n">
        <x:f>IF(ISNUMBER(T183),1,0)</x:f>
        <x:v>0</x:v>
      </x:c>
      <x:c r="AD183" s="44" t="n">
        <x:f>IF(ISNUMBER(U183),1,0)</x:f>
        <x:v>0</x:v>
      </x:c>
      <x:c r="AE183" s="44" t="n">
        <x:f>IF(ISNUMBER(V183),1,0)</x:f>
        <x:v>0</x:v>
      </x:c>
      <x:c r="AF183" s="44" t="n">
        <x:f>IF(ISNUMBER(W183),1,0)</x:f>
        <x:v>0</x:v>
      </x:c>
      <x:c r="AG183" s="44" t="n">
        <x:f>IF(ISNUMBER(X183),1,0)</x:f>
        <x:v>0</x:v>
      </x:c>
      <x:c r="AH183" s="44" t="n">
        <x:f>IF(ISNUMBER(P183),1,0)</x:f>
        <x:v>0</x:v>
      </x:c>
      <x:c r="AI183" s="44" t="n">
        <x:f>IF(ISNUMBER(O183),1,0)</x:f>
        <x:v>0</x:v>
      </x:c>
    </x:row>
    <x:row r="184" ht="22" customHeight="1">
      <x:c r="A184" s="26"/>
      <x:c r="B184" s="26"/>
      <x:c r="C184" s="14"/>
      <x:c r="D184" s="14"/>
      <x:c r="E184" s="14"/>
      <x:c r="F184" s="28"/>
      <x:c r="G184" s="14"/>
      <x:c r="H184" s="30"/>
      <x:c r="I184" s="30"/>
      <x:c r="J184" s="30"/>
      <x:c r="K184" s="30"/>
      <x:c r="L184" s="30"/>
      <x:c r="M184" s="30"/>
      <x:c r="N184" s="30"/>
      <x:c r="O184" s="32"/>
      <x:c r="P184" s="34"/>
      <x:c r="Q184" s="14"/>
      <x:c r="R184" s="14"/>
      <x:c r="S184" s="36" t="str">
        <x:f>IF(COUNT(J184:M184)&lt;4,"",SUM(J184:M184))</x:f>
      </x:c>
      <x:c r="T184" s="38" t="str">
        <x:f>IF(OR(S184="",I184="",I184&lt;=0),"",S184/I184)</x:f>
      </x:c>
      <x:c r="U184" s="38" t="str">
        <x:f>IF(OR(L184="",I184="",I184&lt;=0),"",L184/I184)</x:f>
      </x:c>
      <x:c r="V184" s="38" t="str">
        <x:f>IF(OR(M184="",I184="",I184&lt;=0),"",M184/I184)</x:f>
      </x:c>
      <x:c r="W184" s="38" t="str">
        <x:f>IF(OR(N184="",I184="",I184&lt;=0),"",N184/I184)</x:f>
      </x:c>
      <x:c r="X184" s="38" t="str">
        <x:f>IF(OR(O184="",F184="",F184&lt;=0),"",O184/F184)</x:f>
      </x:c>
      <x:c r="Y184" s="40" t="str">
        <x:f>IF(OR(A184="",B184=""),"",B184-A184)</x:f>
      </x:c>
      <x:c r="Z184" s="8" t="str">
        <x:f>IF(COUNTA(A184:R184)=0,"",IF(OR(A184="",B184="",C184="",G184="",H184=""),"INCOMPLETO",IF(B184&lt;A184,"DATA INVÁLIDA",IF(AND(G184="7d",OR(Y184&lt;7,Y184&gt;10)),"FORA DA JANELA",IF(AND(G184="30d",OR(Y184&lt;30,Y184&gt;35)),"FORA DA JANELA",IF(COUNTIFS($C$2:$C$201,C184,$G$2:$G$201,G184)&gt;1,"DUPLICADO","OK"))))))</x:f>
      </x:c>
      <x:c r="AA184" s="44" t="n">
        <x:f>IF(ISNUMBER(H184),1,0)</x:f>
        <x:v>0</x:v>
      </x:c>
      <x:c r="AB184" s="44" t="n">
        <x:f>IF(ISNUMBER(I184),1,0)</x:f>
        <x:v>0</x:v>
      </x:c>
      <x:c r="AC184" s="44" t="n">
        <x:f>IF(ISNUMBER(T184),1,0)</x:f>
        <x:v>0</x:v>
      </x:c>
      <x:c r="AD184" s="44" t="n">
        <x:f>IF(ISNUMBER(U184),1,0)</x:f>
        <x:v>0</x:v>
      </x:c>
      <x:c r="AE184" s="44" t="n">
        <x:f>IF(ISNUMBER(V184),1,0)</x:f>
        <x:v>0</x:v>
      </x:c>
      <x:c r="AF184" s="44" t="n">
        <x:f>IF(ISNUMBER(W184),1,0)</x:f>
        <x:v>0</x:v>
      </x:c>
      <x:c r="AG184" s="44" t="n">
        <x:f>IF(ISNUMBER(X184),1,0)</x:f>
        <x:v>0</x:v>
      </x:c>
      <x:c r="AH184" s="44" t="n">
        <x:f>IF(ISNUMBER(P184),1,0)</x:f>
        <x:v>0</x:v>
      </x:c>
      <x:c r="AI184" s="44" t="n">
        <x:f>IF(ISNUMBER(O184),1,0)</x:f>
        <x:v>0</x:v>
      </x:c>
    </x:row>
    <x:row r="185" ht="22" customHeight="1">
      <x:c r="A185" s="26"/>
      <x:c r="B185" s="26"/>
      <x:c r="C185" s="14"/>
      <x:c r="D185" s="14"/>
      <x:c r="E185" s="14"/>
      <x:c r="F185" s="28"/>
      <x:c r="G185" s="14"/>
      <x:c r="H185" s="30"/>
      <x:c r="I185" s="30"/>
      <x:c r="J185" s="30"/>
      <x:c r="K185" s="30"/>
      <x:c r="L185" s="30"/>
      <x:c r="M185" s="30"/>
      <x:c r="N185" s="30"/>
      <x:c r="O185" s="32"/>
      <x:c r="P185" s="34"/>
      <x:c r="Q185" s="14"/>
      <x:c r="R185" s="14"/>
      <x:c r="S185" s="36" t="str">
        <x:f>IF(COUNT(J185:M185)&lt;4,"",SUM(J185:M185))</x:f>
      </x:c>
      <x:c r="T185" s="38" t="str">
        <x:f>IF(OR(S185="",I185="",I185&lt;=0),"",S185/I185)</x:f>
      </x:c>
      <x:c r="U185" s="38" t="str">
        <x:f>IF(OR(L185="",I185="",I185&lt;=0),"",L185/I185)</x:f>
      </x:c>
      <x:c r="V185" s="38" t="str">
        <x:f>IF(OR(M185="",I185="",I185&lt;=0),"",M185/I185)</x:f>
      </x:c>
      <x:c r="W185" s="38" t="str">
        <x:f>IF(OR(N185="",I185="",I185&lt;=0),"",N185/I185)</x:f>
      </x:c>
      <x:c r="X185" s="38" t="str">
        <x:f>IF(OR(O185="",F185="",F185&lt;=0),"",O185/F185)</x:f>
      </x:c>
      <x:c r="Y185" s="40" t="str">
        <x:f>IF(OR(A185="",B185=""),"",B185-A185)</x:f>
      </x:c>
      <x:c r="Z185" s="8" t="str">
        <x:f>IF(COUNTA(A185:R185)=0,"",IF(OR(A185="",B185="",C185="",G185="",H185=""),"INCOMPLETO",IF(B185&lt;A185,"DATA INVÁLIDA",IF(AND(G185="7d",OR(Y185&lt;7,Y185&gt;10)),"FORA DA JANELA",IF(AND(G185="30d",OR(Y185&lt;30,Y185&gt;35)),"FORA DA JANELA",IF(COUNTIFS($C$2:$C$201,C185,$G$2:$G$201,G185)&gt;1,"DUPLICADO","OK"))))))</x:f>
      </x:c>
      <x:c r="AA185" s="44" t="n">
        <x:f>IF(ISNUMBER(H185),1,0)</x:f>
        <x:v>0</x:v>
      </x:c>
      <x:c r="AB185" s="44" t="n">
        <x:f>IF(ISNUMBER(I185),1,0)</x:f>
        <x:v>0</x:v>
      </x:c>
      <x:c r="AC185" s="44" t="n">
        <x:f>IF(ISNUMBER(T185),1,0)</x:f>
        <x:v>0</x:v>
      </x:c>
      <x:c r="AD185" s="44" t="n">
        <x:f>IF(ISNUMBER(U185),1,0)</x:f>
        <x:v>0</x:v>
      </x:c>
      <x:c r="AE185" s="44" t="n">
        <x:f>IF(ISNUMBER(V185),1,0)</x:f>
        <x:v>0</x:v>
      </x:c>
      <x:c r="AF185" s="44" t="n">
        <x:f>IF(ISNUMBER(W185),1,0)</x:f>
        <x:v>0</x:v>
      </x:c>
      <x:c r="AG185" s="44" t="n">
        <x:f>IF(ISNUMBER(X185),1,0)</x:f>
        <x:v>0</x:v>
      </x:c>
      <x:c r="AH185" s="44" t="n">
        <x:f>IF(ISNUMBER(P185),1,0)</x:f>
        <x:v>0</x:v>
      </x:c>
      <x:c r="AI185" s="44" t="n">
        <x:f>IF(ISNUMBER(O185),1,0)</x:f>
        <x:v>0</x:v>
      </x:c>
    </x:row>
    <x:row r="186" ht="22" customHeight="1">
      <x:c r="A186" s="26"/>
      <x:c r="B186" s="26"/>
      <x:c r="C186" s="14"/>
      <x:c r="D186" s="14"/>
      <x:c r="E186" s="14"/>
      <x:c r="F186" s="28"/>
      <x:c r="G186" s="14"/>
      <x:c r="H186" s="30"/>
      <x:c r="I186" s="30"/>
      <x:c r="J186" s="30"/>
      <x:c r="K186" s="30"/>
      <x:c r="L186" s="30"/>
      <x:c r="M186" s="30"/>
      <x:c r="N186" s="30"/>
      <x:c r="O186" s="32"/>
      <x:c r="P186" s="34"/>
      <x:c r="Q186" s="14"/>
      <x:c r="R186" s="14"/>
      <x:c r="S186" s="36" t="str">
        <x:f>IF(COUNT(J186:M186)&lt;4,"",SUM(J186:M186))</x:f>
      </x:c>
      <x:c r="T186" s="38" t="str">
        <x:f>IF(OR(S186="",I186="",I186&lt;=0),"",S186/I186)</x:f>
      </x:c>
      <x:c r="U186" s="38" t="str">
        <x:f>IF(OR(L186="",I186="",I186&lt;=0),"",L186/I186)</x:f>
      </x:c>
      <x:c r="V186" s="38" t="str">
        <x:f>IF(OR(M186="",I186="",I186&lt;=0),"",M186/I186)</x:f>
      </x:c>
      <x:c r="W186" s="38" t="str">
        <x:f>IF(OR(N186="",I186="",I186&lt;=0),"",N186/I186)</x:f>
      </x:c>
      <x:c r="X186" s="38" t="str">
        <x:f>IF(OR(O186="",F186="",F186&lt;=0),"",O186/F186)</x:f>
      </x:c>
      <x:c r="Y186" s="40" t="str">
        <x:f>IF(OR(A186="",B186=""),"",B186-A186)</x:f>
      </x:c>
      <x:c r="Z186" s="8" t="str">
        <x:f>IF(COUNTA(A186:R186)=0,"",IF(OR(A186="",B186="",C186="",G186="",H186=""),"INCOMPLETO",IF(B186&lt;A186,"DATA INVÁLIDA",IF(AND(G186="7d",OR(Y186&lt;7,Y186&gt;10)),"FORA DA JANELA",IF(AND(G186="30d",OR(Y186&lt;30,Y186&gt;35)),"FORA DA JANELA",IF(COUNTIFS($C$2:$C$201,C186,$G$2:$G$201,G186)&gt;1,"DUPLICADO","OK"))))))</x:f>
      </x:c>
      <x:c r="AA186" s="44" t="n">
        <x:f>IF(ISNUMBER(H186),1,0)</x:f>
        <x:v>0</x:v>
      </x:c>
      <x:c r="AB186" s="44" t="n">
        <x:f>IF(ISNUMBER(I186),1,0)</x:f>
        <x:v>0</x:v>
      </x:c>
      <x:c r="AC186" s="44" t="n">
        <x:f>IF(ISNUMBER(T186),1,0)</x:f>
        <x:v>0</x:v>
      </x:c>
      <x:c r="AD186" s="44" t="n">
        <x:f>IF(ISNUMBER(U186),1,0)</x:f>
        <x:v>0</x:v>
      </x:c>
      <x:c r="AE186" s="44" t="n">
        <x:f>IF(ISNUMBER(V186),1,0)</x:f>
        <x:v>0</x:v>
      </x:c>
      <x:c r="AF186" s="44" t="n">
        <x:f>IF(ISNUMBER(W186),1,0)</x:f>
        <x:v>0</x:v>
      </x:c>
      <x:c r="AG186" s="44" t="n">
        <x:f>IF(ISNUMBER(X186),1,0)</x:f>
        <x:v>0</x:v>
      </x:c>
      <x:c r="AH186" s="44" t="n">
        <x:f>IF(ISNUMBER(P186),1,0)</x:f>
        <x:v>0</x:v>
      </x:c>
      <x:c r="AI186" s="44" t="n">
        <x:f>IF(ISNUMBER(O186),1,0)</x:f>
        <x:v>0</x:v>
      </x:c>
    </x:row>
    <x:row r="187" ht="22" customHeight="1">
      <x:c r="A187" s="26"/>
      <x:c r="B187" s="26"/>
      <x:c r="C187" s="14"/>
      <x:c r="D187" s="14"/>
      <x:c r="E187" s="14"/>
      <x:c r="F187" s="28"/>
      <x:c r="G187" s="14"/>
      <x:c r="H187" s="30"/>
      <x:c r="I187" s="30"/>
      <x:c r="J187" s="30"/>
      <x:c r="K187" s="30"/>
      <x:c r="L187" s="30"/>
      <x:c r="M187" s="30"/>
      <x:c r="N187" s="30"/>
      <x:c r="O187" s="32"/>
      <x:c r="P187" s="34"/>
      <x:c r="Q187" s="14"/>
      <x:c r="R187" s="14"/>
      <x:c r="S187" s="36" t="str">
        <x:f>IF(COUNT(J187:M187)&lt;4,"",SUM(J187:M187))</x:f>
      </x:c>
      <x:c r="T187" s="38" t="str">
        <x:f>IF(OR(S187="",I187="",I187&lt;=0),"",S187/I187)</x:f>
      </x:c>
      <x:c r="U187" s="38" t="str">
        <x:f>IF(OR(L187="",I187="",I187&lt;=0),"",L187/I187)</x:f>
      </x:c>
      <x:c r="V187" s="38" t="str">
        <x:f>IF(OR(M187="",I187="",I187&lt;=0),"",M187/I187)</x:f>
      </x:c>
      <x:c r="W187" s="38" t="str">
        <x:f>IF(OR(N187="",I187="",I187&lt;=0),"",N187/I187)</x:f>
      </x:c>
      <x:c r="X187" s="38" t="str">
        <x:f>IF(OR(O187="",F187="",F187&lt;=0),"",O187/F187)</x:f>
      </x:c>
      <x:c r="Y187" s="40" t="str">
        <x:f>IF(OR(A187="",B187=""),"",B187-A187)</x:f>
      </x:c>
      <x:c r="Z187" s="8" t="str">
        <x:f>IF(COUNTA(A187:R187)=0,"",IF(OR(A187="",B187="",C187="",G187="",H187=""),"INCOMPLETO",IF(B187&lt;A187,"DATA INVÁLIDA",IF(AND(G187="7d",OR(Y187&lt;7,Y187&gt;10)),"FORA DA JANELA",IF(AND(G187="30d",OR(Y187&lt;30,Y187&gt;35)),"FORA DA JANELA",IF(COUNTIFS($C$2:$C$201,C187,$G$2:$G$201,G187)&gt;1,"DUPLICADO","OK"))))))</x:f>
      </x:c>
      <x:c r="AA187" s="44" t="n">
        <x:f>IF(ISNUMBER(H187),1,0)</x:f>
        <x:v>0</x:v>
      </x:c>
      <x:c r="AB187" s="44" t="n">
        <x:f>IF(ISNUMBER(I187),1,0)</x:f>
        <x:v>0</x:v>
      </x:c>
      <x:c r="AC187" s="44" t="n">
        <x:f>IF(ISNUMBER(T187),1,0)</x:f>
        <x:v>0</x:v>
      </x:c>
      <x:c r="AD187" s="44" t="n">
        <x:f>IF(ISNUMBER(U187),1,0)</x:f>
        <x:v>0</x:v>
      </x:c>
      <x:c r="AE187" s="44" t="n">
        <x:f>IF(ISNUMBER(V187),1,0)</x:f>
        <x:v>0</x:v>
      </x:c>
      <x:c r="AF187" s="44" t="n">
        <x:f>IF(ISNUMBER(W187),1,0)</x:f>
        <x:v>0</x:v>
      </x:c>
      <x:c r="AG187" s="44" t="n">
        <x:f>IF(ISNUMBER(X187),1,0)</x:f>
        <x:v>0</x:v>
      </x:c>
      <x:c r="AH187" s="44" t="n">
        <x:f>IF(ISNUMBER(P187),1,0)</x:f>
        <x:v>0</x:v>
      </x:c>
      <x:c r="AI187" s="44" t="n">
        <x:f>IF(ISNUMBER(O187),1,0)</x:f>
        <x:v>0</x:v>
      </x:c>
    </x:row>
    <x:row r="188" ht="22" customHeight="1">
      <x:c r="A188" s="26"/>
      <x:c r="B188" s="26"/>
      <x:c r="C188" s="14"/>
      <x:c r="D188" s="14"/>
      <x:c r="E188" s="14"/>
      <x:c r="F188" s="28"/>
      <x:c r="G188" s="14"/>
      <x:c r="H188" s="30"/>
      <x:c r="I188" s="30"/>
      <x:c r="J188" s="30"/>
      <x:c r="K188" s="30"/>
      <x:c r="L188" s="30"/>
      <x:c r="M188" s="30"/>
      <x:c r="N188" s="30"/>
      <x:c r="O188" s="32"/>
      <x:c r="P188" s="34"/>
      <x:c r="Q188" s="14"/>
      <x:c r="R188" s="14"/>
      <x:c r="S188" s="36" t="str">
        <x:f>IF(COUNT(J188:M188)&lt;4,"",SUM(J188:M188))</x:f>
      </x:c>
      <x:c r="T188" s="38" t="str">
        <x:f>IF(OR(S188="",I188="",I188&lt;=0),"",S188/I188)</x:f>
      </x:c>
      <x:c r="U188" s="38" t="str">
        <x:f>IF(OR(L188="",I188="",I188&lt;=0),"",L188/I188)</x:f>
      </x:c>
      <x:c r="V188" s="38" t="str">
        <x:f>IF(OR(M188="",I188="",I188&lt;=0),"",M188/I188)</x:f>
      </x:c>
      <x:c r="W188" s="38" t="str">
        <x:f>IF(OR(N188="",I188="",I188&lt;=0),"",N188/I188)</x:f>
      </x:c>
      <x:c r="X188" s="38" t="str">
        <x:f>IF(OR(O188="",F188="",F188&lt;=0),"",O188/F188)</x:f>
      </x:c>
      <x:c r="Y188" s="40" t="str">
        <x:f>IF(OR(A188="",B188=""),"",B188-A188)</x:f>
      </x:c>
      <x:c r="Z188" s="8" t="str">
        <x:f>IF(COUNTA(A188:R188)=0,"",IF(OR(A188="",B188="",C188="",G188="",H188=""),"INCOMPLETO",IF(B188&lt;A188,"DATA INVÁLIDA",IF(AND(G188="7d",OR(Y188&lt;7,Y188&gt;10)),"FORA DA JANELA",IF(AND(G188="30d",OR(Y188&lt;30,Y188&gt;35)),"FORA DA JANELA",IF(COUNTIFS($C$2:$C$201,C188,$G$2:$G$201,G188)&gt;1,"DUPLICADO","OK"))))))</x:f>
      </x:c>
      <x:c r="AA188" s="44" t="n">
        <x:f>IF(ISNUMBER(H188),1,0)</x:f>
        <x:v>0</x:v>
      </x:c>
      <x:c r="AB188" s="44" t="n">
        <x:f>IF(ISNUMBER(I188),1,0)</x:f>
        <x:v>0</x:v>
      </x:c>
      <x:c r="AC188" s="44" t="n">
        <x:f>IF(ISNUMBER(T188),1,0)</x:f>
        <x:v>0</x:v>
      </x:c>
      <x:c r="AD188" s="44" t="n">
        <x:f>IF(ISNUMBER(U188),1,0)</x:f>
        <x:v>0</x:v>
      </x:c>
      <x:c r="AE188" s="44" t="n">
        <x:f>IF(ISNUMBER(V188),1,0)</x:f>
        <x:v>0</x:v>
      </x:c>
      <x:c r="AF188" s="44" t="n">
        <x:f>IF(ISNUMBER(W188),1,0)</x:f>
        <x:v>0</x:v>
      </x:c>
      <x:c r="AG188" s="44" t="n">
        <x:f>IF(ISNUMBER(X188),1,0)</x:f>
        <x:v>0</x:v>
      </x:c>
      <x:c r="AH188" s="44" t="n">
        <x:f>IF(ISNUMBER(P188),1,0)</x:f>
        <x:v>0</x:v>
      </x:c>
      <x:c r="AI188" s="44" t="n">
        <x:f>IF(ISNUMBER(O188),1,0)</x:f>
        <x:v>0</x:v>
      </x:c>
    </x:row>
    <x:row r="189" ht="22" customHeight="1">
      <x:c r="A189" s="26"/>
      <x:c r="B189" s="26"/>
      <x:c r="C189" s="14"/>
      <x:c r="D189" s="14"/>
      <x:c r="E189" s="14"/>
      <x:c r="F189" s="28"/>
      <x:c r="G189" s="14"/>
      <x:c r="H189" s="30"/>
      <x:c r="I189" s="30"/>
      <x:c r="J189" s="30"/>
      <x:c r="K189" s="30"/>
      <x:c r="L189" s="30"/>
      <x:c r="M189" s="30"/>
      <x:c r="N189" s="30"/>
      <x:c r="O189" s="32"/>
      <x:c r="P189" s="34"/>
      <x:c r="Q189" s="14"/>
      <x:c r="R189" s="14"/>
      <x:c r="S189" s="36" t="str">
        <x:f>IF(COUNT(J189:M189)&lt;4,"",SUM(J189:M189))</x:f>
      </x:c>
      <x:c r="T189" s="38" t="str">
        <x:f>IF(OR(S189="",I189="",I189&lt;=0),"",S189/I189)</x:f>
      </x:c>
      <x:c r="U189" s="38" t="str">
        <x:f>IF(OR(L189="",I189="",I189&lt;=0),"",L189/I189)</x:f>
      </x:c>
      <x:c r="V189" s="38" t="str">
        <x:f>IF(OR(M189="",I189="",I189&lt;=0),"",M189/I189)</x:f>
      </x:c>
      <x:c r="W189" s="38" t="str">
        <x:f>IF(OR(N189="",I189="",I189&lt;=0),"",N189/I189)</x:f>
      </x:c>
      <x:c r="X189" s="38" t="str">
        <x:f>IF(OR(O189="",F189="",F189&lt;=0),"",O189/F189)</x:f>
      </x:c>
      <x:c r="Y189" s="40" t="str">
        <x:f>IF(OR(A189="",B189=""),"",B189-A189)</x:f>
      </x:c>
      <x:c r="Z189" s="8" t="str">
        <x:f>IF(COUNTA(A189:R189)=0,"",IF(OR(A189="",B189="",C189="",G189="",H189=""),"INCOMPLETO",IF(B189&lt;A189,"DATA INVÁLIDA",IF(AND(G189="7d",OR(Y189&lt;7,Y189&gt;10)),"FORA DA JANELA",IF(AND(G189="30d",OR(Y189&lt;30,Y189&gt;35)),"FORA DA JANELA",IF(COUNTIFS($C$2:$C$201,C189,$G$2:$G$201,G189)&gt;1,"DUPLICADO","OK"))))))</x:f>
      </x:c>
      <x:c r="AA189" s="44" t="n">
        <x:f>IF(ISNUMBER(H189),1,0)</x:f>
        <x:v>0</x:v>
      </x:c>
      <x:c r="AB189" s="44" t="n">
        <x:f>IF(ISNUMBER(I189),1,0)</x:f>
        <x:v>0</x:v>
      </x:c>
      <x:c r="AC189" s="44" t="n">
        <x:f>IF(ISNUMBER(T189),1,0)</x:f>
        <x:v>0</x:v>
      </x:c>
      <x:c r="AD189" s="44" t="n">
        <x:f>IF(ISNUMBER(U189),1,0)</x:f>
        <x:v>0</x:v>
      </x:c>
      <x:c r="AE189" s="44" t="n">
        <x:f>IF(ISNUMBER(V189),1,0)</x:f>
        <x:v>0</x:v>
      </x:c>
      <x:c r="AF189" s="44" t="n">
        <x:f>IF(ISNUMBER(W189),1,0)</x:f>
        <x:v>0</x:v>
      </x:c>
      <x:c r="AG189" s="44" t="n">
        <x:f>IF(ISNUMBER(X189),1,0)</x:f>
        <x:v>0</x:v>
      </x:c>
      <x:c r="AH189" s="44" t="n">
        <x:f>IF(ISNUMBER(P189),1,0)</x:f>
        <x:v>0</x:v>
      </x:c>
      <x:c r="AI189" s="44" t="n">
        <x:f>IF(ISNUMBER(O189),1,0)</x:f>
        <x:v>0</x:v>
      </x:c>
    </x:row>
    <x:row r="190" ht="22" customHeight="1">
      <x:c r="A190" s="26"/>
      <x:c r="B190" s="26"/>
      <x:c r="C190" s="14"/>
      <x:c r="D190" s="14"/>
      <x:c r="E190" s="14"/>
      <x:c r="F190" s="28"/>
      <x:c r="G190" s="14"/>
      <x:c r="H190" s="30"/>
      <x:c r="I190" s="30"/>
      <x:c r="J190" s="30"/>
      <x:c r="K190" s="30"/>
      <x:c r="L190" s="30"/>
      <x:c r="M190" s="30"/>
      <x:c r="N190" s="30"/>
      <x:c r="O190" s="32"/>
      <x:c r="P190" s="34"/>
      <x:c r="Q190" s="14"/>
      <x:c r="R190" s="14"/>
      <x:c r="S190" s="36" t="str">
        <x:f>IF(COUNT(J190:M190)&lt;4,"",SUM(J190:M190))</x:f>
      </x:c>
      <x:c r="T190" s="38" t="str">
        <x:f>IF(OR(S190="",I190="",I190&lt;=0),"",S190/I190)</x:f>
      </x:c>
      <x:c r="U190" s="38" t="str">
        <x:f>IF(OR(L190="",I190="",I190&lt;=0),"",L190/I190)</x:f>
      </x:c>
      <x:c r="V190" s="38" t="str">
        <x:f>IF(OR(M190="",I190="",I190&lt;=0),"",M190/I190)</x:f>
      </x:c>
      <x:c r="W190" s="38" t="str">
        <x:f>IF(OR(N190="",I190="",I190&lt;=0),"",N190/I190)</x:f>
      </x:c>
      <x:c r="X190" s="38" t="str">
        <x:f>IF(OR(O190="",F190="",F190&lt;=0),"",O190/F190)</x:f>
      </x:c>
      <x:c r="Y190" s="40" t="str">
        <x:f>IF(OR(A190="",B190=""),"",B190-A190)</x:f>
      </x:c>
      <x:c r="Z190" s="8" t="str">
        <x:f>IF(COUNTA(A190:R190)=0,"",IF(OR(A190="",B190="",C190="",G190="",H190=""),"INCOMPLETO",IF(B190&lt;A190,"DATA INVÁLIDA",IF(AND(G190="7d",OR(Y190&lt;7,Y190&gt;10)),"FORA DA JANELA",IF(AND(G190="30d",OR(Y190&lt;30,Y190&gt;35)),"FORA DA JANELA",IF(COUNTIFS($C$2:$C$201,C190,$G$2:$G$201,G190)&gt;1,"DUPLICADO","OK"))))))</x:f>
      </x:c>
      <x:c r="AA190" s="44" t="n">
        <x:f>IF(ISNUMBER(H190),1,0)</x:f>
        <x:v>0</x:v>
      </x:c>
      <x:c r="AB190" s="44" t="n">
        <x:f>IF(ISNUMBER(I190),1,0)</x:f>
        <x:v>0</x:v>
      </x:c>
      <x:c r="AC190" s="44" t="n">
        <x:f>IF(ISNUMBER(T190),1,0)</x:f>
        <x:v>0</x:v>
      </x:c>
      <x:c r="AD190" s="44" t="n">
        <x:f>IF(ISNUMBER(U190),1,0)</x:f>
        <x:v>0</x:v>
      </x:c>
      <x:c r="AE190" s="44" t="n">
        <x:f>IF(ISNUMBER(V190),1,0)</x:f>
        <x:v>0</x:v>
      </x:c>
      <x:c r="AF190" s="44" t="n">
        <x:f>IF(ISNUMBER(W190),1,0)</x:f>
        <x:v>0</x:v>
      </x:c>
      <x:c r="AG190" s="44" t="n">
        <x:f>IF(ISNUMBER(X190),1,0)</x:f>
        <x:v>0</x:v>
      </x:c>
      <x:c r="AH190" s="44" t="n">
        <x:f>IF(ISNUMBER(P190),1,0)</x:f>
        <x:v>0</x:v>
      </x:c>
      <x:c r="AI190" s="44" t="n">
        <x:f>IF(ISNUMBER(O190),1,0)</x:f>
        <x:v>0</x:v>
      </x:c>
    </x:row>
    <x:row r="191" ht="22" customHeight="1">
      <x:c r="A191" s="26"/>
      <x:c r="B191" s="26"/>
      <x:c r="C191" s="14"/>
      <x:c r="D191" s="14"/>
      <x:c r="E191" s="14"/>
      <x:c r="F191" s="28"/>
      <x:c r="G191" s="14"/>
      <x:c r="H191" s="30"/>
      <x:c r="I191" s="30"/>
      <x:c r="J191" s="30"/>
      <x:c r="K191" s="30"/>
      <x:c r="L191" s="30"/>
      <x:c r="M191" s="30"/>
      <x:c r="N191" s="30"/>
      <x:c r="O191" s="32"/>
      <x:c r="P191" s="34"/>
      <x:c r="Q191" s="14"/>
      <x:c r="R191" s="14"/>
      <x:c r="S191" s="36" t="str">
        <x:f>IF(COUNT(J191:M191)&lt;4,"",SUM(J191:M191))</x:f>
      </x:c>
      <x:c r="T191" s="38" t="str">
        <x:f>IF(OR(S191="",I191="",I191&lt;=0),"",S191/I191)</x:f>
      </x:c>
      <x:c r="U191" s="38" t="str">
        <x:f>IF(OR(L191="",I191="",I191&lt;=0),"",L191/I191)</x:f>
      </x:c>
      <x:c r="V191" s="38" t="str">
        <x:f>IF(OR(M191="",I191="",I191&lt;=0),"",M191/I191)</x:f>
      </x:c>
      <x:c r="W191" s="38" t="str">
        <x:f>IF(OR(N191="",I191="",I191&lt;=0),"",N191/I191)</x:f>
      </x:c>
      <x:c r="X191" s="38" t="str">
        <x:f>IF(OR(O191="",F191="",F191&lt;=0),"",O191/F191)</x:f>
      </x:c>
      <x:c r="Y191" s="40" t="str">
        <x:f>IF(OR(A191="",B191=""),"",B191-A191)</x:f>
      </x:c>
      <x:c r="Z191" s="8" t="str">
        <x:f>IF(COUNTA(A191:R191)=0,"",IF(OR(A191="",B191="",C191="",G191="",H191=""),"INCOMPLETO",IF(B191&lt;A191,"DATA INVÁLIDA",IF(AND(G191="7d",OR(Y191&lt;7,Y191&gt;10)),"FORA DA JANELA",IF(AND(G191="30d",OR(Y191&lt;30,Y191&gt;35)),"FORA DA JANELA",IF(COUNTIFS($C$2:$C$201,C191,$G$2:$G$201,G191)&gt;1,"DUPLICADO","OK"))))))</x:f>
      </x:c>
      <x:c r="AA191" s="44" t="n">
        <x:f>IF(ISNUMBER(H191),1,0)</x:f>
        <x:v>0</x:v>
      </x:c>
      <x:c r="AB191" s="44" t="n">
        <x:f>IF(ISNUMBER(I191),1,0)</x:f>
        <x:v>0</x:v>
      </x:c>
      <x:c r="AC191" s="44" t="n">
        <x:f>IF(ISNUMBER(T191),1,0)</x:f>
        <x:v>0</x:v>
      </x:c>
      <x:c r="AD191" s="44" t="n">
        <x:f>IF(ISNUMBER(U191),1,0)</x:f>
        <x:v>0</x:v>
      </x:c>
      <x:c r="AE191" s="44" t="n">
        <x:f>IF(ISNUMBER(V191),1,0)</x:f>
        <x:v>0</x:v>
      </x:c>
      <x:c r="AF191" s="44" t="n">
        <x:f>IF(ISNUMBER(W191),1,0)</x:f>
        <x:v>0</x:v>
      </x:c>
      <x:c r="AG191" s="44" t="n">
        <x:f>IF(ISNUMBER(X191),1,0)</x:f>
        <x:v>0</x:v>
      </x:c>
      <x:c r="AH191" s="44" t="n">
        <x:f>IF(ISNUMBER(P191),1,0)</x:f>
        <x:v>0</x:v>
      </x:c>
      <x:c r="AI191" s="44" t="n">
        <x:f>IF(ISNUMBER(O191),1,0)</x:f>
        <x:v>0</x:v>
      </x:c>
    </x:row>
    <x:row r="192" ht="22" customHeight="1">
      <x:c r="A192" s="26"/>
      <x:c r="B192" s="26"/>
      <x:c r="C192" s="14"/>
      <x:c r="D192" s="14"/>
      <x:c r="E192" s="14"/>
      <x:c r="F192" s="28"/>
      <x:c r="G192" s="14"/>
      <x:c r="H192" s="30"/>
      <x:c r="I192" s="30"/>
      <x:c r="J192" s="30"/>
      <x:c r="K192" s="30"/>
      <x:c r="L192" s="30"/>
      <x:c r="M192" s="30"/>
      <x:c r="N192" s="30"/>
      <x:c r="O192" s="32"/>
      <x:c r="P192" s="34"/>
      <x:c r="Q192" s="14"/>
      <x:c r="R192" s="14"/>
      <x:c r="S192" s="36" t="str">
        <x:f>IF(COUNT(J192:M192)&lt;4,"",SUM(J192:M192))</x:f>
      </x:c>
      <x:c r="T192" s="38" t="str">
        <x:f>IF(OR(S192="",I192="",I192&lt;=0),"",S192/I192)</x:f>
      </x:c>
      <x:c r="U192" s="38" t="str">
        <x:f>IF(OR(L192="",I192="",I192&lt;=0),"",L192/I192)</x:f>
      </x:c>
      <x:c r="V192" s="38" t="str">
        <x:f>IF(OR(M192="",I192="",I192&lt;=0),"",M192/I192)</x:f>
      </x:c>
      <x:c r="W192" s="38" t="str">
        <x:f>IF(OR(N192="",I192="",I192&lt;=0),"",N192/I192)</x:f>
      </x:c>
      <x:c r="X192" s="38" t="str">
        <x:f>IF(OR(O192="",F192="",F192&lt;=0),"",O192/F192)</x:f>
      </x:c>
      <x:c r="Y192" s="40" t="str">
        <x:f>IF(OR(A192="",B192=""),"",B192-A192)</x:f>
      </x:c>
      <x:c r="Z192" s="8" t="str">
        <x:f>IF(COUNTA(A192:R192)=0,"",IF(OR(A192="",B192="",C192="",G192="",H192=""),"INCOMPLETO",IF(B192&lt;A192,"DATA INVÁLIDA",IF(AND(G192="7d",OR(Y192&lt;7,Y192&gt;10)),"FORA DA JANELA",IF(AND(G192="30d",OR(Y192&lt;30,Y192&gt;35)),"FORA DA JANELA",IF(COUNTIFS($C$2:$C$201,C192,$G$2:$G$201,G192)&gt;1,"DUPLICADO","OK"))))))</x:f>
      </x:c>
      <x:c r="AA192" s="44" t="n">
        <x:f>IF(ISNUMBER(H192),1,0)</x:f>
        <x:v>0</x:v>
      </x:c>
      <x:c r="AB192" s="44" t="n">
        <x:f>IF(ISNUMBER(I192),1,0)</x:f>
        <x:v>0</x:v>
      </x:c>
      <x:c r="AC192" s="44" t="n">
        <x:f>IF(ISNUMBER(T192),1,0)</x:f>
        <x:v>0</x:v>
      </x:c>
      <x:c r="AD192" s="44" t="n">
        <x:f>IF(ISNUMBER(U192),1,0)</x:f>
        <x:v>0</x:v>
      </x:c>
      <x:c r="AE192" s="44" t="n">
        <x:f>IF(ISNUMBER(V192),1,0)</x:f>
        <x:v>0</x:v>
      </x:c>
      <x:c r="AF192" s="44" t="n">
        <x:f>IF(ISNUMBER(W192),1,0)</x:f>
        <x:v>0</x:v>
      </x:c>
      <x:c r="AG192" s="44" t="n">
        <x:f>IF(ISNUMBER(X192),1,0)</x:f>
        <x:v>0</x:v>
      </x:c>
      <x:c r="AH192" s="44" t="n">
        <x:f>IF(ISNUMBER(P192),1,0)</x:f>
        <x:v>0</x:v>
      </x:c>
      <x:c r="AI192" s="44" t="n">
        <x:f>IF(ISNUMBER(O192),1,0)</x:f>
        <x:v>0</x:v>
      </x:c>
    </x:row>
    <x:row r="193" ht="22" customHeight="1">
      <x:c r="A193" s="26"/>
      <x:c r="B193" s="26"/>
      <x:c r="C193" s="14"/>
      <x:c r="D193" s="14"/>
      <x:c r="E193" s="14"/>
      <x:c r="F193" s="28"/>
      <x:c r="G193" s="14"/>
      <x:c r="H193" s="30"/>
      <x:c r="I193" s="30"/>
      <x:c r="J193" s="30"/>
      <x:c r="K193" s="30"/>
      <x:c r="L193" s="30"/>
      <x:c r="M193" s="30"/>
      <x:c r="N193" s="30"/>
      <x:c r="O193" s="32"/>
      <x:c r="P193" s="34"/>
      <x:c r="Q193" s="14"/>
      <x:c r="R193" s="14"/>
      <x:c r="S193" s="36" t="str">
        <x:f>IF(COUNT(J193:M193)&lt;4,"",SUM(J193:M193))</x:f>
      </x:c>
      <x:c r="T193" s="38" t="str">
        <x:f>IF(OR(S193="",I193="",I193&lt;=0),"",S193/I193)</x:f>
      </x:c>
      <x:c r="U193" s="38" t="str">
        <x:f>IF(OR(L193="",I193="",I193&lt;=0),"",L193/I193)</x:f>
      </x:c>
      <x:c r="V193" s="38" t="str">
        <x:f>IF(OR(M193="",I193="",I193&lt;=0),"",M193/I193)</x:f>
      </x:c>
      <x:c r="W193" s="38" t="str">
        <x:f>IF(OR(N193="",I193="",I193&lt;=0),"",N193/I193)</x:f>
      </x:c>
      <x:c r="X193" s="38" t="str">
        <x:f>IF(OR(O193="",F193="",F193&lt;=0),"",O193/F193)</x:f>
      </x:c>
      <x:c r="Y193" s="40" t="str">
        <x:f>IF(OR(A193="",B193=""),"",B193-A193)</x:f>
      </x:c>
      <x:c r="Z193" s="8" t="str">
        <x:f>IF(COUNTA(A193:R193)=0,"",IF(OR(A193="",B193="",C193="",G193="",H193=""),"INCOMPLETO",IF(B193&lt;A193,"DATA INVÁLIDA",IF(AND(G193="7d",OR(Y193&lt;7,Y193&gt;10)),"FORA DA JANELA",IF(AND(G193="30d",OR(Y193&lt;30,Y193&gt;35)),"FORA DA JANELA",IF(COUNTIFS($C$2:$C$201,C193,$G$2:$G$201,G193)&gt;1,"DUPLICADO","OK"))))))</x:f>
      </x:c>
      <x:c r="AA193" s="44" t="n">
        <x:f>IF(ISNUMBER(H193),1,0)</x:f>
        <x:v>0</x:v>
      </x:c>
      <x:c r="AB193" s="44" t="n">
        <x:f>IF(ISNUMBER(I193),1,0)</x:f>
        <x:v>0</x:v>
      </x:c>
      <x:c r="AC193" s="44" t="n">
        <x:f>IF(ISNUMBER(T193),1,0)</x:f>
        <x:v>0</x:v>
      </x:c>
      <x:c r="AD193" s="44" t="n">
        <x:f>IF(ISNUMBER(U193),1,0)</x:f>
        <x:v>0</x:v>
      </x:c>
      <x:c r="AE193" s="44" t="n">
        <x:f>IF(ISNUMBER(V193),1,0)</x:f>
        <x:v>0</x:v>
      </x:c>
      <x:c r="AF193" s="44" t="n">
        <x:f>IF(ISNUMBER(W193),1,0)</x:f>
        <x:v>0</x:v>
      </x:c>
      <x:c r="AG193" s="44" t="n">
        <x:f>IF(ISNUMBER(X193),1,0)</x:f>
        <x:v>0</x:v>
      </x:c>
      <x:c r="AH193" s="44" t="n">
        <x:f>IF(ISNUMBER(P193),1,0)</x:f>
        <x:v>0</x:v>
      </x:c>
      <x:c r="AI193" s="44" t="n">
        <x:f>IF(ISNUMBER(O193),1,0)</x:f>
        <x:v>0</x:v>
      </x:c>
    </x:row>
    <x:row r="194" ht="22" customHeight="1">
      <x:c r="A194" s="26"/>
      <x:c r="B194" s="26"/>
      <x:c r="C194" s="14"/>
      <x:c r="D194" s="14"/>
      <x:c r="E194" s="14"/>
      <x:c r="F194" s="28"/>
      <x:c r="G194" s="14"/>
      <x:c r="H194" s="30"/>
      <x:c r="I194" s="30"/>
      <x:c r="J194" s="30"/>
      <x:c r="K194" s="30"/>
      <x:c r="L194" s="30"/>
      <x:c r="M194" s="30"/>
      <x:c r="N194" s="30"/>
      <x:c r="O194" s="32"/>
      <x:c r="P194" s="34"/>
      <x:c r="Q194" s="14"/>
      <x:c r="R194" s="14"/>
      <x:c r="S194" s="36" t="str">
        <x:f>IF(COUNT(J194:M194)&lt;4,"",SUM(J194:M194))</x:f>
      </x:c>
      <x:c r="T194" s="38" t="str">
        <x:f>IF(OR(S194="",I194="",I194&lt;=0),"",S194/I194)</x:f>
      </x:c>
      <x:c r="U194" s="38" t="str">
        <x:f>IF(OR(L194="",I194="",I194&lt;=0),"",L194/I194)</x:f>
      </x:c>
      <x:c r="V194" s="38" t="str">
        <x:f>IF(OR(M194="",I194="",I194&lt;=0),"",M194/I194)</x:f>
      </x:c>
      <x:c r="W194" s="38" t="str">
        <x:f>IF(OR(N194="",I194="",I194&lt;=0),"",N194/I194)</x:f>
      </x:c>
      <x:c r="X194" s="38" t="str">
        <x:f>IF(OR(O194="",F194="",F194&lt;=0),"",O194/F194)</x:f>
      </x:c>
      <x:c r="Y194" s="40" t="str">
        <x:f>IF(OR(A194="",B194=""),"",B194-A194)</x:f>
      </x:c>
      <x:c r="Z194" s="8" t="str">
        <x:f>IF(COUNTA(A194:R194)=0,"",IF(OR(A194="",B194="",C194="",G194="",H194=""),"INCOMPLETO",IF(B194&lt;A194,"DATA INVÁLIDA",IF(AND(G194="7d",OR(Y194&lt;7,Y194&gt;10)),"FORA DA JANELA",IF(AND(G194="30d",OR(Y194&lt;30,Y194&gt;35)),"FORA DA JANELA",IF(COUNTIFS($C$2:$C$201,C194,$G$2:$G$201,G194)&gt;1,"DUPLICADO","OK"))))))</x:f>
      </x:c>
      <x:c r="AA194" s="44" t="n">
        <x:f>IF(ISNUMBER(H194),1,0)</x:f>
        <x:v>0</x:v>
      </x:c>
      <x:c r="AB194" s="44" t="n">
        <x:f>IF(ISNUMBER(I194),1,0)</x:f>
        <x:v>0</x:v>
      </x:c>
      <x:c r="AC194" s="44" t="n">
        <x:f>IF(ISNUMBER(T194),1,0)</x:f>
        <x:v>0</x:v>
      </x:c>
      <x:c r="AD194" s="44" t="n">
        <x:f>IF(ISNUMBER(U194),1,0)</x:f>
        <x:v>0</x:v>
      </x:c>
      <x:c r="AE194" s="44" t="n">
        <x:f>IF(ISNUMBER(V194),1,0)</x:f>
        <x:v>0</x:v>
      </x:c>
      <x:c r="AF194" s="44" t="n">
        <x:f>IF(ISNUMBER(W194),1,0)</x:f>
        <x:v>0</x:v>
      </x:c>
      <x:c r="AG194" s="44" t="n">
        <x:f>IF(ISNUMBER(X194),1,0)</x:f>
        <x:v>0</x:v>
      </x:c>
      <x:c r="AH194" s="44" t="n">
        <x:f>IF(ISNUMBER(P194),1,0)</x:f>
        <x:v>0</x:v>
      </x:c>
      <x:c r="AI194" s="44" t="n">
        <x:f>IF(ISNUMBER(O194),1,0)</x:f>
        <x:v>0</x:v>
      </x:c>
    </x:row>
    <x:row r="195" ht="22" customHeight="1">
      <x:c r="A195" s="26"/>
      <x:c r="B195" s="26"/>
      <x:c r="C195" s="14"/>
      <x:c r="D195" s="14"/>
      <x:c r="E195" s="14"/>
      <x:c r="F195" s="28"/>
      <x:c r="G195" s="14"/>
      <x:c r="H195" s="30"/>
      <x:c r="I195" s="30"/>
      <x:c r="J195" s="30"/>
      <x:c r="K195" s="30"/>
      <x:c r="L195" s="30"/>
      <x:c r="M195" s="30"/>
      <x:c r="N195" s="30"/>
      <x:c r="O195" s="32"/>
      <x:c r="P195" s="34"/>
      <x:c r="Q195" s="14"/>
      <x:c r="R195" s="14"/>
      <x:c r="S195" s="36" t="str">
        <x:f>IF(COUNT(J195:M195)&lt;4,"",SUM(J195:M195))</x:f>
      </x:c>
      <x:c r="T195" s="38" t="str">
        <x:f>IF(OR(S195="",I195="",I195&lt;=0),"",S195/I195)</x:f>
      </x:c>
      <x:c r="U195" s="38" t="str">
        <x:f>IF(OR(L195="",I195="",I195&lt;=0),"",L195/I195)</x:f>
      </x:c>
      <x:c r="V195" s="38" t="str">
        <x:f>IF(OR(M195="",I195="",I195&lt;=0),"",M195/I195)</x:f>
      </x:c>
      <x:c r="W195" s="38" t="str">
        <x:f>IF(OR(N195="",I195="",I195&lt;=0),"",N195/I195)</x:f>
      </x:c>
      <x:c r="X195" s="38" t="str">
        <x:f>IF(OR(O195="",F195="",F195&lt;=0),"",O195/F195)</x:f>
      </x:c>
      <x:c r="Y195" s="40" t="str">
        <x:f>IF(OR(A195="",B195=""),"",B195-A195)</x:f>
      </x:c>
      <x:c r="Z195" s="8" t="str">
        <x:f>IF(COUNTA(A195:R195)=0,"",IF(OR(A195="",B195="",C195="",G195="",H195=""),"INCOMPLETO",IF(B195&lt;A195,"DATA INVÁLIDA",IF(AND(G195="7d",OR(Y195&lt;7,Y195&gt;10)),"FORA DA JANELA",IF(AND(G195="30d",OR(Y195&lt;30,Y195&gt;35)),"FORA DA JANELA",IF(COUNTIFS($C$2:$C$201,C195,$G$2:$G$201,G195)&gt;1,"DUPLICADO","OK"))))))</x:f>
      </x:c>
      <x:c r="AA195" s="44" t="n">
        <x:f>IF(ISNUMBER(H195),1,0)</x:f>
        <x:v>0</x:v>
      </x:c>
      <x:c r="AB195" s="44" t="n">
        <x:f>IF(ISNUMBER(I195),1,0)</x:f>
        <x:v>0</x:v>
      </x:c>
      <x:c r="AC195" s="44" t="n">
        <x:f>IF(ISNUMBER(T195),1,0)</x:f>
        <x:v>0</x:v>
      </x:c>
      <x:c r="AD195" s="44" t="n">
        <x:f>IF(ISNUMBER(U195),1,0)</x:f>
        <x:v>0</x:v>
      </x:c>
      <x:c r="AE195" s="44" t="n">
        <x:f>IF(ISNUMBER(V195),1,0)</x:f>
        <x:v>0</x:v>
      </x:c>
      <x:c r="AF195" s="44" t="n">
        <x:f>IF(ISNUMBER(W195),1,0)</x:f>
        <x:v>0</x:v>
      </x:c>
      <x:c r="AG195" s="44" t="n">
        <x:f>IF(ISNUMBER(X195),1,0)</x:f>
        <x:v>0</x:v>
      </x:c>
      <x:c r="AH195" s="44" t="n">
        <x:f>IF(ISNUMBER(P195),1,0)</x:f>
        <x:v>0</x:v>
      </x:c>
      <x:c r="AI195" s="44" t="n">
        <x:f>IF(ISNUMBER(O195),1,0)</x:f>
        <x:v>0</x:v>
      </x:c>
    </x:row>
    <x:row r="196" ht="22" customHeight="1">
      <x:c r="A196" s="26"/>
      <x:c r="B196" s="26"/>
      <x:c r="C196" s="14"/>
      <x:c r="D196" s="14"/>
      <x:c r="E196" s="14"/>
      <x:c r="F196" s="28"/>
      <x:c r="G196" s="14"/>
      <x:c r="H196" s="30"/>
      <x:c r="I196" s="30"/>
      <x:c r="J196" s="30"/>
      <x:c r="K196" s="30"/>
      <x:c r="L196" s="30"/>
      <x:c r="M196" s="30"/>
      <x:c r="N196" s="30"/>
      <x:c r="O196" s="32"/>
      <x:c r="P196" s="34"/>
      <x:c r="Q196" s="14"/>
      <x:c r="R196" s="14"/>
      <x:c r="S196" s="36" t="str">
        <x:f>IF(COUNT(J196:M196)&lt;4,"",SUM(J196:M196))</x:f>
      </x:c>
      <x:c r="T196" s="38" t="str">
        <x:f>IF(OR(S196="",I196="",I196&lt;=0),"",S196/I196)</x:f>
      </x:c>
      <x:c r="U196" s="38" t="str">
        <x:f>IF(OR(L196="",I196="",I196&lt;=0),"",L196/I196)</x:f>
      </x:c>
      <x:c r="V196" s="38" t="str">
        <x:f>IF(OR(M196="",I196="",I196&lt;=0),"",M196/I196)</x:f>
      </x:c>
      <x:c r="W196" s="38" t="str">
        <x:f>IF(OR(N196="",I196="",I196&lt;=0),"",N196/I196)</x:f>
      </x:c>
      <x:c r="X196" s="38" t="str">
        <x:f>IF(OR(O196="",F196="",F196&lt;=0),"",O196/F196)</x:f>
      </x:c>
      <x:c r="Y196" s="40" t="str">
        <x:f>IF(OR(A196="",B196=""),"",B196-A196)</x:f>
      </x:c>
      <x:c r="Z196" s="8" t="str">
        <x:f>IF(COUNTA(A196:R196)=0,"",IF(OR(A196="",B196="",C196="",G196="",H196=""),"INCOMPLETO",IF(B196&lt;A196,"DATA INVÁLIDA",IF(AND(G196="7d",OR(Y196&lt;7,Y196&gt;10)),"FORA DA JANELA",IF(AND(G196="30d",OR(Y196&lt;30,Y196&gt;35)),"FORA DA JANELA",IF(COUNTIFS($C$2:$C$201,C196,$G$2:$G$201,G196)&gt;1,"DUPLICADO","OK"))))))</x:f>
      </x:c>
      <x:c r="AA196" s="44" t="n">
        <x:f>IF(ISNUMBER(H196),1,0)</x:f>
        <x:v>0</x:v>
      </x:c>
      <x:c r="AB196" s="44" t="n">
        <x:f>IF(ISNUMBER(I196),1,0)</x:f>
        <x:v>0</x:v>
      </x:c>
      <x:c r="AC196" s="44" t="n">
        <x:f>IF(ISNUMBER(T196),1,0)</x:f>
        <x:v>0</x:v>
      </x:c>
      <x:c r="AD196" s="44" t="n">
        <x:f>IF(ISNUMBER(U196),1,0)</x:f>
        <x:v>0</x:v>
      </x:c>
      <x:c r="AE196" s="44" t="n">
        <x:f>IF(ISNUMBER(V196),1,0)</x:f>
        <x:v>0</x:v>
      </x:c>
      <x:c r="AF196" s="44" t="n">
        <x:f>IF(ISNUMBER(W196),1,0)</x:f>
        <x:v>0</x:v>
      </x:c>
      <x:c r="AG196" s="44" t="n">
        <x:f>IF(ISNUMBER(X196),1,0)</x:f>
        <x:v>0</x:v>
      </x:c>
      <x:c r="AH196" s="44" t="n">
        <x:f>IF(ISNUMBER(P196),1,0)</x:f>
        <x:v>0</x:v>
      </x:c>
      <x:c r="AI196" s="44" t="n">
        <x:f>IF(ISNUMBER(O196),1,0)</x:f>
        <x:v>0</x:v>
      </x:c>
    </x:row>
    <x:row r="197" ht="22" customHeight="1">
      <x:c r="A197" s="26"/>
      <x:c r="B197" s="26"/>
      <x:c r="C197" s="14"/>
      <x:c r="D197" s="14"/>
      <x:c r="E197" s="14"/>
      <x:c r="F197" s="28"/>
      <x:c r="G197" s="14"/>
      <x:c r="H197" s="30"/>
      <x:c r="I197" s="30"/>
      <x:c r="J197" s="30"/>
      <x:c r="K197" s="30"/>
      <x:c r="L197" s="30"/>
      <x:c r="M197" s="30"/>
      <x:c r="N197" s="30"/>
      <x:c r="O197" s="32"/>
      <x:c r="P197" s="34"/>
      <x:c r="Q197" s="14"/>
      <x:c r="R197" s="14"/>
      <x:c r="S197" s="36" t="str">
        <x:f>IF(COUNT(J197:M197)&lt;4,"",SUM(J197:M197))</x:f>
      </x:c>
      <x:c r="T197" s="38" t="str">
        <x:f>IF(OR(S197="",I197="",I197&lt;=0),"",S197/I197)</x:f>
      </x:c>
      <x:c r="U197" s="38" t="str">
        <x:f>IF(OR(L197="",I197="",I197&lt;=0),"",L197/I197)</x:f>
      </x:c>
      <x:c r="V197" s="38" t="str">
        <x:f>IF(OR(M197="",I197="",I197&lt;=0),"",M197/I197)</x:f>
      </x:c>
      <x:c r="W197" s="38" t="str">
        <x:f>IF(OR(N197="",I197="",I197&lt;=0),"",N197/I197)</x:f>
      </x:c>
      <x:c r="X197" s="38" t="str">
        <x:f>IF(OR(O197="",F197="",F197&lt;=0),"",O197/F197)</x:f>
      </x:c>
      <x:c r="Y197" s="40" t="str">
        <x:f>IF(OR(A197="",B197=""),"",B197-A197)</x:f>
      </x:c>
      <x:c r="Z197" s="8" t="str">
        <x:f>IF(COUNTA(A197:R197)=0,"",IF(OR(A197="",B197="",C197="",G197="",H197=""),"INCOMPLETO",IF(B197&lt;A197,"DATA INVÁLIDA",IF(AND(G197="7d",OR(Y197&lt;7,Y197&gt;10)),"FORA DA JANELA",IF(AND(G197="30d",OR(Y197&lt;30,Y197&gt;35)),"FORA DA JANELA",IF(COUNTIFS($C$2:$C$201,C197,$G$2:$G$201,G197)&gt;1,"DUPLICADO","OK"))))))</x:f>
      </x:c>
      <x:c r="AA197" s="44" t="n">
        <x:f>IF(ISNUMBER(H197),1,0)</x:f>
        <x:v>0</x:v>
      </x:c>
      <x:c r="AB197" s="44" t="n">
        <x:f>IF(ISNUMBER(I197),1,0)</x:f>
        <x:v>0</x:v>
      </x:c>
      <x:c r="AC197" s="44" t="n">
        <x:f>IF(ISNUMBER(T197),1,0)</x:f>
        <x:v>0</x:v>
      </x:c>
      <x:c r="AD197" s="44" t="n">
        <x:f>IF(ISNUMBER(U197),1,0)</x:f>
        <x:v>0</x:v>
      </x:c>
      <x:c r="AE197" s="44" t="n">
        <x:f>IF(ISNUMBER(V197),1,0)</x:f>
        <x:v>0</x:v>
      </x:c>
      <x:c r="AF197" s="44" t="n">
        <x:f>IF(ISNUMBER(W197),1,0)</x:f>
        <x:v>0</x:v>
      </x:c>
      <x:c r="AG197" s="44" t="n">
        <x:f>IF(ISNUMBER(X197),1,0)</x:f>
        <x:v>0</x:v>
      </x:c>
      <x:c r="AH197" s="44" t="n">
        <x:f>IF(ISNUMBER(P197),1,0)</x:f>
        <x:v>0</x:v>
      </x:c>
      <x:c r="AI197" s="44" t="n">
        <x:f>IF(ISNUMBER(O197),1,0)</x:f>
        <x:v>0</x:v>
      </x:c>
    </x:row>
    <x:row r="198" ht="22" customHeight="1">
      <x:c r="A198" s="26"/>
      <x:c r="B198" s="26"/>
      <x:c r="C198" s="14"/>
      <x:c r="D198" s="14"/>
      <x:c r="E198" s="14"/>
      <x:c r="F198" s="28"/>
      <x:c r="G198" s="14"/>
      <x:c r="H198" s="30"/>
      <x:c r="I198" s="30"/>
      <x:c r="J198" s="30"/>
      <x:c r="K198" s="30"/>
      <x:c r="L198" s="30"/>
      <x:c r="M198" s="30"/>
      <x:c r="N198" s="30"/>
      <x:c r="O198" s="32"/>
      <x:c r="P198" s="34"/>
      <x:c r="Q198" s="14"/>
      <x:c r="R198" s="14"/>
      <x:c r="S198" s="36" t="str">
        <x:f>IF(COUNT(J198:M198)&lt;4,"",SUM(J198:M198))</x:f>
      </x:c>
      <x:c r="T198" s="38" t="str">
        <x:f>IF(OR(S198="",I198="",I198&lt;=0),"",S198/I198)</x:f>
      </x:c>
      <x:c r="U198" s="38" t="str">
        <x:f>IF(OR(L198="",I198="",I198&lt;=0),"",L198/I198)</x:f>
      </x:c>
      <x:c r="V198" s="38" t="str">
        <x:f>IF(OR(M198="",I198="",I198&lt;=0),"",M198/I198)</x:f>
      </x:c>
      <x:c r="W198" s="38" t="str">
        <x:f>IF(OR(N198="",I198="",I198&lt;=0),"",N198/I198)</x:f>
      </x:c>
      <x:c r="X198" s="38" t="str">
        <x:f>IF(OR(O198="",F198="",F198&lt;=0),"",O198/F198)</x:f>
      </x:c>
      <x:c r="Y198" s="40" t="str">
        <x:f>IF(OR(A198="",B198=""),"",B198-A198)</x:f>
      </x:c>
      <x:c r="Z198" s="8" t="str">
        <x:f>IF(COUNTA(A198:R198)=0,"",IF(OR(A198="",B198="",C198="",G198="",H198=""),"INCOMPLETO",IF(B198&lt;A198,"DATA INVÁLIDA",IF(AND(G198="7d",OR(Y198&lt;7,Y198&gt;10)),"FORA DA JANELA",IF(AND(G198="30d",OR(Y198&lt;30,Y198&gt;35)),"FORA DA JANELA",IF(COUNTIFS($C$2:$C$201,C198,$G$2:$G$201,G198)&gt;1,"DUPLICADO","OK"))))))</x:f>
      </x:c>
      <x:c r="AA198" s="44" t="n">
        <x:f>IF(ISNUMBER(H198),1,0)</x:f>
        <x:v>0</x:v>
      </x:c>
      <x:c r="AB198" s="44" t="n">
        <x:f>IF(ISNUMBER(I198),1,0)</x:f>
        <x:v>0</x:v>
      </x:c>
      <x:c r="AC198" s="44" t="n">
        <x:f>IF(ISNUMBER(T198),1,0)</x:f>
        <x:v>0</x:v>
      </x:c>
      <x:c r="AD198" s="44" t="n">
        <x:f>IF(ISNUMBER(U198),1,0)</x:f>
        <x:v>0</x:v>
      </x:c>
      <x:c r="AE198" s="44" t="n">
        <x:f>IF(ISNUMBER(V198),1,0)</x:f>
        <x:v>0</x:v>
      </x:c>
      <x:c r="AF198" s="44" t="n">
        <x:f>IF(ISNUMBER(W198),1,0)</x:f>
        <x:v>0</x:v>
      </x:c>
      <x:c r="AG198" s="44" t="n">
        <x:f>IF(ISNUMBER(X198),1,0)</x:f>
        <x:v>0</x:v>
      </x:c>
      <x:c r="AH198" s="44" t="n">
        <x:f>IF(ISNUMBER(P198),1,0)</x:f>
        <x:v>0</x:v>
      </x:c>
      <x:c r="AI198" s="44" t="n">
        <x:f>IF(ISNUMBER(O198),1,0)</x:f>
        <x:v>0</x:v>
      </x:c>
    </x:row>
    <x:row r="199" ht="22" customHeight="1">
      <x:c r="A199" s="26"/>
      <x:c r="B199" s="26"/>
      <x:c r="C199" s="14"/>
      <x:c r="D199" s="14"/>
      <x:c r="E199" s="14"/>
      <x:c r="F199" s="28"/>
      <x:c r="G199" s="14"/>
      <x:c r="H199" s="30"/>
      <x:c r="I199" s="30"/>
      <x:c r="J199" s="30"/>
      <x:c r="K199" s="30"/>
      <x:c r="L199" s="30"/>
      <x:c r="M199" s="30"/>
      <x:c r="N199" s="30"/>
      <x:c r="O199" s="32"/>
      <x:c r="P199" s="34"/>
      <x:c r="Q199" s="14"/>
      <x:c r="R199" s="14"/>
      <x:c r="S199" s="36" t="str">
        <x:f>IF(COUNT(J199:M199)&lt;4,"",SUM(J199:M199))</x:f>
      </x:c>
      <x:c r="T199" s="38" t="str">
        <x:f>IF(OR(S199="",I199="",I199&lt;=0),"",S199/I199)</x:f>
      </x:c>
      <x:c r="U199" s="38" t="str">
        <x:f>IF(OR(L199="",I199="",I199&lt;=0),"",L199/I199)</x:f>
      </x:c>
      <x:c r="V199" s="38" t="str">
        <x:f>IF(OR(M199="",I199="",I199&lt;=0),"",M199/I199)</x:f>
      </x:c>
      <x:c r="W199" s="38" t="str">
        <x:f>IF(OR(N199="",I199="",I199&lt;=0),"",N199/I199)</x:f>
      </x:c>
      <x:c r="X199" s="38" t="str">
        <x:f>IF(OR(O199="",F199="",F199&lt;=0),"",O199/F199)</x:f>
      </x:c>
      <x:c r="Y199" s="40" t="str">
        <x:f>IF(OR(A199="",B199=""),"",B199-A199)</x:f>
      </x:c>
      <x:c r="Z199" s="8" t="str">
        <x:f>IF(COUNTA(A199:R199)=0,"",IF(OR(A199="",B199="",C199="",G199="",H199=""),"INCOMPLETO",IF(B199&lt;A199,"DATA INVÁLIDA",IF(AND(G199="7d",OR(Y199&lt;7,Y199&gt;10)),"FORA DA JANELA",IF(AND(G199="30d",OR(Y199&lt;30,Y199&gt;35)),"FORA DA JANELA",IF(COUNTIFS($C$2:$C$201,C199,$G$2:$G$201,G199)&gt;1,"DUPLICADO","OK"))))))</x:f>
      </x:c>
      <x:c r="AA199" s="44" t="n">
        <x:f>IF(ISNUMBER(H199),1,0)</x:f>
        <x:v>0</x:v>
      </x:c>
      <x:c r="AB199" s="44" t="n">
        <x:f>IF(ISNUMBER(I199),1,0)</x:f>
        <x:v>0</x:v>
      </x:c>
      <x:c r="AC199" s="44" t="n">
        <x:f>IF(ISNUMBER(T199),1,0)</x:f>
        <x:v>0</x:v>
      </x:c>
      <x:c r="AD199" s="44" t="n">
        <x:f>IF(ISNUMBER(U199),1,0)</x:f>
        <x:v>0</x:v>
      </x:c>
      <x:c r="AE199" s="44" t="n">
        <x:f>IF(ISNUMBER(V199),1,0)</x:f>
        <x:v>0</x:v>
      </x:c>
      <x:c r="AF199" s="44" t="n">
        <x:f>IF(ISNUMBER(W199),1,0)</x:f>
        <x:v>0</x:v>
      </x:c>
      <x:c r="AG199" s="44" t="n">
        <x:f>IF(ISNUMBER(X199),1,0)</x:f>
        <x:v>0</x:v>
      </x:c>
      <x:c r="AH199" s="44" t="n">
        <x:f>IF(ISNUMBER(P199),1,0)</x:f>
        <x:v>0</x:v>
      </x:c>
      <x:c r="AI199" s="44" t="n">
        <x:f>IF(ISNUMBER(O199),1,0)</x:f>
        <x:v>0</x:v>
      </x:c>
    </x:row>
    <x:row r="200" ht="22" customHeight="1">
      <x:c r="A200" s="26"/>
      <x:c r="B200" s="26"/>
      <x:c r="C200" s="14"/>
      <x:c r="D200" s="14"/>
      <x:c r="E200" s="14"/>
      <x:c r="F200" s="28"/>
      <x:c r="G200" s="14"/>
      <x:c r="H200" s="30"/>
      <x:c r="I200" s="30"/>
      <x:c r="J200" s="30"/>
      <x:c r="K200" s="30"/>
      <x:c r="L200" s="30"/>
      <x:c r="M200" s="30"/>
      <x:c r="N200" s="30"/>
      <x:c r="O200" s="32"/>
      <x:c r="P200" s="34"/>
      <x:c r="Q200" s="14"/>
      <x:c r="R200" s="14"/>
      <x:c r="S200" s="36" t="str">
        <x:f>IF(COUNT(J200:M200)&lt;4,"",SUM(J200:M200))</x:f>
      </x:c>
      <x:c r="T200" s="38" t="str">
        <x:f>IF(OR(S200="",I200="",I200&lt;=0),"",S200/I200)</x:f>
      </x:c>
      <x:c r="U200" s="38" t="str">
        <x:f>IF(OR(L200="",I200="",I200&lt;=0),"",L200/I200)</x:f>
      </x:c>
      <x:c r="V200" s="38" t="str">
        <x:f>IF(OR(M200="",I200="",I200&lt;=0),"",M200/I200)</x:f>
      </x:c>
      <x:c r="W200" s="38" t="str">
        <x:f>IF(OR(N200="",I200="",I200&lt;=0),"",N200/I200)</x:f>
      </x:c>
      <x:c r="X200" s="38" t="str">
        <x:f>IF(OR(O200="",F200="",F200&lt;=0),"",O200/F200)</x:f>
      </x:c>
      <x:c r="Y200" s="40" t="str">
        <x:f>IF(OR(A200="",B200=""),"",B200-A200)</x:f>
      </x:c>
      <x:c r="Z200" s="8" t="str">
        <x:f>IF(COUNTA(A200:R200)=0,"",IF(OR(A200="",B200="",C200="",G200="",H200=""),"INCOMPLETO",IF(B200&lt;A200,"DATA INVÁLIDA",IF(AND(G200="7d",OR(Y200&lt;7,Y200&gt;10)),"FORA DA JANELA",IF(AND(G200="30d",OR(Y200&lt;30,Y200&gt;35)),"FORA DA JANELA",IF(COUNTIFS($C$2:$C$201,C200,$G$2:$G$201,G200)&gt;1,"DUPLICADO","OK"))))))</x:f>
      </x:c>
      <x:c r="AA200" s="44" t="n">
        <x:f>IF(ISNUMBER(H200),1,0)</x:f>
        <x:v>0</x:v>
      </x:c>
      <x:c r="AB200" s="44" t="n">
        <x:f>IF(ISNUMBER(I200),1,0)</x:f>
        <x:v>0</x:v>
      </x:c>
      <x:c r="AC200" s="44" t="n">
        <x:f>IF(ISNUMBER(T200),1,0)</x:f>
        <x:v>0</x:v>
      </x:c>
      <x:c r="AD200" s="44" t="n">
        <x:f>IF(ISNUMBER(U200),1,0)</x:f>
        <x:v>0</x:v>
      </x:c>
      <x:c r="AE200" s="44" t="n">
        <x:f>IF(ISNUMBER(V200),1,0)</x:f>
        <x:v>0</x:v>
      </x:c>
      <x:c r="AF200" s="44" t="n">
        <x:f>IF(ISNUMBER(W200),1,0)</x:f>
        <x:v>0</x:v>
      </x:c>
      <x:c r="AG200" s="44" t="n">
        <x:f>IF(ISNUMBER(X200),1,0)</x:f>
        <x:v>0</x:v>
      </x:c>
      <x:c r="AH200" s="44" t="n">
        <x:f>IF(ISNUMBER(P200),1,0)</x:f>
        <x:v>0</x:v>
      </x:c>
      <x:c r="AI200" s="44" t="n">
        <x:f>IF(ISNUMBER(O200),1,0)</x:f>
        <x:v>0</x:v>
      </x:c>
    </x:row>
    <x:row r="201" ht="22" customHeight="1">
      <x:c r="A201" s="26"/>
      <x:c r="B201" s="26"/>
      <x:c r="C201" s="14"/>
      <x:c r="D201" s="14"/>
      <x:c r="E201" s="14"/>
      <x:c r="F201" s="28"/>
      <x:c r="G201" s="14"/>
      <x:c r="H201" s="30"/>
      <x:c r="I201" s="30"/>
      <x:c r="J201" s="30"/>
      <x:c r="K201" s="30"/>
      <x:c r="L201" s="30"/>
      <x:c r="M201" s="30"/>
      <x:c r="N201" s="30"/>
      <x:c r="O201" s="32"/>
      <x:c r="P201" s="34"/>
      <x:c r="Q201" s="14"/>
      <x:c r="R201" s="14"/>
      <x:c r="S201" s="36" t="str">
        <x:f>IF(COUNT(J201:M201)&lt;4,"",SUM(J201:M201))</x:f>
      </x:c>
      <x:c r="T201" s="38" t="str">
        <x:f>IF(OR(S201="",I201="",I201&lt;=0),"",S201/I201)</x:f>
      </x:c>
      <x:c r="U201" s="38" t="str">
        <x:f>IF(OR(L201="",I201="",I201&lt;=0),"",L201/I201)</x:f>
      </x:c>
      <x:c r="V201" s="38" t="str">
        <x:f>IF(OR(M201="",I201="",I201&lt;=0),"",M201/I201)</x:f>
      </x:c>
      <x:c r="W201" s="38" t="str">
        <x:f>IF(OR(N201="",I201="",I201&lt;=0),"",N201/I201)</x:f>
      </x:c>
      <x:c r="X201" s="38" t="str">
        <x:f>IF(OR(O201="",F201="",F201&lt;=0),"",O201/F201)</x:f>
      </x:c>
      <x:c r="Y201" s="40" t="str">
        <x:f>IF(OR(A201="",B201=""),"",B201-A201)</x:f>
      </x:c>
      <x:c r="Z201" s="8" t="str">
        <x:f>IF(COUNTA(A201:R201)=0,"",IF(OR(A201="",B201="",C201="",G201="",H201=""),"INCOMPLETO",IF(B201&lt;A201,"DATA INVÁLIDA",IF(AND(G201="7d",OR(Y201&lt;7,Y201&gt;10)),"FORA DA JANELA",IF(AND(G201="30d",OR(Y201&lt;30,Y201&gt;35)),"FORA DA JANELA",IF(COUNTIFS($C$2:$C$201,C201,$G$2:$G$201,G201)&gt;1,"DUPLICADO","OK"))))))</x:f>
      </x:c>
      <x:c r="AA201" s="44" t="n">
        <x:f>IF(ISNUMBER(H201),1,0)</x:f>
        <x:v>0</x:v>
      </x:c>
      <x:c r="AB201" s="44" t="n">
        <x:f>IF(ISNUMBER(I201),1,0)</x:f>
        <x:v>0</x:v>
      </x:c>
      <x:c r="AC201" s="44" t="n">
        <x:f>IF(ISNUMBER(T201),1,0)</x:f>
        <x:v>0</x:v>
      </x:c>
      <x:c r="AD201" s="44" t="n">
        <x:f>IF(ISNUMBER(U201),1,0)</x:f>
        <x:v>0</x:v>
      </x:c>
      <x:c r="AE201" s="44" t="n">
        <x:f>IF(ISNUMBER(V201),1,0)</x:f>
        <x:v>0</x:v>
      </x:c>
      <x:c r="AF201" s="44" t="n">
        <x:f>IF(ISNUMBER(W201),1,0)</x:f>
        <x:v>0</x:v>
      </x:c>
      <x:c r="AG201" s="44" t="n">
        <x:f>IF(ISNUMBER(X201),1,0)</x:f>
        <x:v>0</x:v>
      </x:c>
      <x:c r="AH201" s="44" t="n">
        <x:f>IF(ISNUMBER(P201),1,0)</x:f>
        <x:v>0</x:v>
      </x:c>
      <x:c r="AI201" s="44" t="n">
        <x:f>IF(ISNUMBER(O201),1,0)</x:f>
        <x:v>0</x:v>
      </x:c>
    </x:row>
  </x:sheetData>
  <x:conditionalFormatting sqref="Z2:Z201">
    <x:cfRule type="expression" dxfId="0" priority="1">
      <x:formula>AND(Z2&lt;&gt;"",Z2&lt;&gt;"OK")</x:formula>
    </x:cfRule>
    <x:cfRule type="expression" dxfId="1" priority="2">
      <x:formula>Z2="OK"</x:formula>
    </x:cfRule>
  </x:conditionalFormatting>
  <x:dataValidations count="2">
    <x:dataValidation type="list" sqref="E2:E201">
      <x:formula1>"Reel,Carrossel,Foto,Outro"</x:formula1>
    </x:dataValidation>
    <x:dataValidation type="list" sqref="G2:G201">
      <x:formula1>"7d,30d,Atual"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17" hidden="0" customWidth="1"/>
    <x:col min="3" max="3" width="28" hidden="0" customWidth="1"/>
    <x:col min="4" max="4" width="36" hidden="0" customWidth="1"/>
    <x:col min="5" max="5" width="36" hidden="0" customWidth="1"/>
    <x:col min="6" max="6" width="22" hidden="0" customWidth="1"/>
    <x:col min="7" max="7" width="22" hidden="0" customWidth="1"/>
    <x:col min="8" max="8" width="17" hidden="0" customWidth="1"/>
    <x:col min="9" max="9" width="38" hidden="0" customWidth="1"/>
    <x:col min="10" max="10" width="38" hidden="0" customWidth="1"/>
  </x:cols>
  <x:sheetData>
    <x:row r="1" ht="37" customHeight="1">
      <x:c r="A1" s="4" t="str">
        <x:v>REGISTRO DE DECISÕES, TESTES E APRENDIZADOS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 ht="42" customHeight="1">
      <x:c r="A3" s="21" t="str">
        <x:v>Data</x:v>
      </x:c>
      <x:c r="B3" s="21" t="str">
        <x:v>Plataforma</x:v>
      </x:c>
      <x:c r="C3" s="21" t="str">
        <x:v>Conteúdo / tema</x:v>
      </x:c>
      <x:c r="D3" s="21" t="str">
        <x:v>Hipótese a testar</x:v>
      </x:c>
      <x:c r="E3" s="21" t="str">
        <x:v>Ação executada</x:v>
      </x:c>
      <x:c r="F3" s="21" t="str">
        <x:v>Métrica-alvo</x:v>
      </x:c>
      <x:c r="G3" s="21" t="str">
        <x:v>Referência anterior</x:v>
      </x:c>
      <x:c r="H3" s="21" t="str">
        <x:v>Revisar em</x:v>
      </x:c>
      <x:c r="I3" s="21" t="str">
        <x:v>Resultado observado</x:v>
      </x:c>
      <x:c r="J3" s="21" t="str">
        <x:v>Decisão seguinte</x:v>
      </x:c>
    </x:row>
    <x:row r="4" ht="30" customHeight="1">
      <x:c r="A4" s="26"/>
      <x:c r="B4" s="14"/>
      <x:c r="C4" s="14"/>
      <x:c r="D4" s="14"/>
      <x:c r="E4" s="14"/>
      <x:c r="F4" s="14"/>
      <x:c r="G4" s="14"/>
      <x:c r="H4" s="26"/>
      <x:c r="I4" s="14"/>
      <x:c r="J4" s="14"/>
    </x:row>
    <x:row r="5" ht="30" customHeight="1">
      <x:c r="A5" s="26"/>
      <x:c r="B5" s="14"/>
      <x:c r="C5" s="14"/>
      <x:c r="D5" s="14"/>
      <x:c r="E5" s="14"/>
      <x:c r="F5" s="14"/>
      <x:c r="G5" s="14"/>
      <x:c r="H5" s="26"/>
      <x:c r="I5" s="14"/>
      <x:c r="J5" s="14"/>
    </x:row>
    <x:row r="6" ht="30" customHeight="1">
      <x:c r="A6" s="26"/>
      <x:c r="B6" s="14"/>
      <x:c r="C6" s="14"/>
      <x:c r="D6" s="14"/>
      <x:c r="E6" s="14"/>
      <x:c r="F6" s="14"/>
      <x:c r="G6" s="14"/>
      <x:c r="H6" s="26"/>
      <x:c r="I6" s="14"/>
      <x:c r="J6" s="14"/>
    </x:row>
    <x:row r="7" ht="30" customHeight="1">
      <x:c r="A7" s="26"/>
      <x:c r="B7" s="14"/>
      <x:c r="C7" s="14"/>
      <x:c r="D7" s="14"/>
      <x:c r="E7" s="14"/>
      <x:c r="F7" s="14"/>
      <x:c r="G7" s="14"/>
      <x:c r="H7" s="26"/>
      <x:c r="I7" s="14"/>
      <x:c r="J7" s="14"/>
    </x:row>
    <x:row r="8" ht="30" customHeight="1">
      <x:c r="A8" s="26"/>
      <x:c r="B8" s="14"/>
      <x:c r="C8" s="14"/>
      <x:c r="D8" s="14"/>
      <x:c r="E8" s="14"/>
      <x:c r="F8" s="14"/>
      <x:c r="G8" s="14"/>
      <x:c r="H8" s="26"/>
      <x:c r="I8" s="14"/>
      <x:c r="J8" s="14"/>
    </x:row>
    <x:row r="9" ht="30" customHeight="1">
      <x:c r="A9" s="26"/>
      <x:c r="B9" s="14"/>
      <x:c r="C9" s="14"/>
      <x:c r="D9" s="14"/>
      <x:c r="E9" s="14"/>
      <x:c r="F9" s="14"/>
      <x:c r="G9" s="14"/>
      <x:c r="H9" s="26"/>
      <x:c r="I9" s="14"/>
      <x:c r="J9" s="14"/>
    </x:row>
    <x:row r="10" ht="30" customHeight="1">
      <x:c r="A10" s="26"/>
      <x:c r="B10" s="14"/>
      <x:c r="C10" s="14"/>
      <x:c r="D10" s="14"/>
      <x:c r="E10" s="14"/>
      <x:c r="F10" s="14"/>
      <x:c r="G10" s="14"/>
      <x:c r="H10" s="26"/>
      <x:c r="I10" s="14"/>
      <x:c r="J10" s="14"/>
    </x:row>
    <x:row r="11" ht="30" customHeight="1">
      <x:c r="A11" s="26"/>
      <x:c r="B11" s="14"/>
      <x:c r="C11" s="14"/>
      <x:c r="D11" s="14"/>
      <x:c r="E11" s="14"/>
      <x:c r="F11" s="14"/>
      <x:c r="G11" s="14"/>
      <x:c r="H11" s="26"/>
      <x:c r="I11" s="14"/>
      <x:c r="J11" s="14"/>
    </x:row>
    <x:row r="12" ht="30" customHeight="1">
      <x:c r="A12" s="26"/>
      <x:c r="B12" s="14"/>
      <x:c r="C12" s="14"/>
      <x:c r="D12" s="14"/>
      <x:c r="E12" s="14"/>
      <x:c r="F12" s="14"/>
      <x:c r="G12" s="14"/>
      <x:c r="H12" s="26"/>
      <x:c r="I12" s="14"/>
      <x:c r="J12" s="14"/>
    </x:row>
    <x:row r="13" ht="30" customHeight="1">
      <x:c r="A13" s="26"/>
      <x:c r="B13" s="14"/>
      <x:c r="C13" s="14"/>
      <x:c r="D13" s="14"/>
      <x:c r="E13" s="14"/>
      <x:c r="F13" s="14"/>
      <x:c r="G13" s="14"/>
      <x:c r="H13" s="26"/>
      <x:c r="I13" s="14"/>
      <x:c r="J13" s="14"/>
    </x:row>
    <x:row r="14" ht="30" customHeight="1">
      <x:c r="A14" s="26"/>
      <x:c r="B14" s="14"/>
      <x:c r="C14" s="14"/>
      <x:c r="D14" s="14"/>
      <x:c r="E14" s="14"/>
      <x:c r="F14" s="14"/>
      <x:c r="G14" s="14"/>
      <x:c r="H14" s="26"/>
      <x:c r="I14" s="14"/>
      <x:c r="J14" s="14"/>
    </x:row>
    <x:row r="15" ht="30" customHeight="1">
      <x:c r="A15" s="26"/>
      <x:c r="B15" s="14"/>
      <x:c r="C15" s="14"/>
      <x:c r="D15" s="14"/>
      <x:c r="E15" s="14"/>
      <x:c r="F15" s="14"/>
      <x:c r="G15" s="14"/>
      <x:c r="H15" s="26"/>
      <x:c r="I15" s="14"/>
      <x:c r="J15" s="14"/>
    </x:row>
    <x:row r="16" ht="30" customHeight="1">
      <x:c r="A16" s="26"/>
      <x:c r="B16" s="14"/>
      <x:c r="C16" s="14"/>
      <x:c r="D16" s="14"/>
      <x:c r="E16" s="14"/>
      <x:c r="F16" s="14"/>
      <x:c r="G16" s="14"/>
      <x:c r="H16" s="26"/>
      <x:c r="I16" s="14"/>
      <x:c r="J16" s="14"/>
    </x:row>
    <x:row r="17" ht="30" customHeight="1">
      <x:c r="A17" s="26"/>
      <x:c r="B17" s="14"/>
      <x:c r="C17" s="14"/>
      <x:c r="D17" s="14"/>
      <x:c r="E17" s="14"/>
      <x:c r="F17" s="14"/>
      <x:c r="G17" s="14"/>
      <x:c r="H17" s="26"/>
      <x:c r="I17" s="14"/>
      <x:c r="J17" s="14"/>
    </x:row>
    <x:row r="18" ht="30" customHeight="1">
      <x:c r="A18" s="26"/>
      <x:c r="B18" s="14"/>
      <x:c r="C18" s="14"/>
      <x:c r="D18" s="14"/>
      <x:c r="E18" s="14"/>
      <x:c r="F18" s="14"/>
      <x:c r="G18" s="14"/>
      <x:c r="H18" s="26"/>
      <x:c r="I18" s="14"/>
      <x:c r="J18" s="14"/>
    </x:row>
    <x:row r="19" ht="30" customHeight="1">
      <x:c r="A19" s="26"/>
      <x:c r="B19" s="14"/>
      <x:c r="C19" s="14"/>
      <x:c r="D19" s="14"/>
      <x:c r="E19" s="14"/>
      <x:c r="F19" s="14"/>
      <x:c r="G19" s="14"/>
      <x:c r="H19" s="26"/>
      <x:c r="I19" s="14"/>
      <x:c r="J19" s="14"/>
    </x:row>
    <x:row r="20" ht="30" customHeight="1">
      <x:c r="A20" s="26"/>
      <x:c r="B20" s="14"/>
      <x:c r="C20" s="14"/>
      <x:c r="D20" s="14"/>
      <x:c r="E20" s="14"/>
      <x:c r="F20" s="14"/>
      <x:c r="G20" s="14"/>
      <x:c r="H20" s="26"/>
      <x:c r="I20" s="14"/>
      <x:c r="J20" s="14"/>
    </x:row>
    <x:row r="21" ht="30" customHeight="1">
      <x:c r="A21" s="26"/>
      <x:c r="B21" s="14"/>
      <x:c r="C21" s="14"/>
      <x:c r="D21" s="14"/>
      <x:c r="E21" s="14"/>
      <x:c r="F21" s="14"/>
      <x:c r="G21" s="14"/>
      <x:c r="H21" s="26"/>
      <x:c r="I21" s="14"/>
      <x:c r="J21" s="14"/>
    </x:row>
    <x:row r="22" ht="30" customHeight="1">
      <x:c r="A22" s="26"/>
      <x:c r="B22" s="14"/>
      <x:c r="C22" s="14"/>
      <x:c r="D22" s="14"/>
      <x:c r="E22" s="14"/>
      <x:c r="F22" s="14"/>
      <x:c r="G22" s="14"/>
      <x:c r="H22" s="26"/>
      <x:c r="I22" s="14"/>
      <x:c r="J22" s="14"/>
    </x:row>
    <x:row r="23" ht="30" customHeight="1">
      <x:c r="A23" s="26"/>
      <x:c r="B23" s="14"/>
      <x:c r="C23" s="14"/>
      <x:c r="D23" s="14"/>
      <x:c r="E23" s="14"/>
      <x:c r="F23" s="14"/>
      <x:c r="G23" s="14"/>
      <x:c r="H23" s="26"/>
      <x:c r="I23" s="14"/>
      <x:c r="J23" s="14"/>
    </x:row>
    <x:row r="24" ht="30" customHeight="1">
      <x:c r="A24" s="26"/>
      <x:c r="B24" s="14"/>
      <x:c r="C24" s="14"/>
      <x:c r="D24" s="14"/>
      <x:c r="E24" s="14"/>
      <x:c r="F24" s="14"/>
      <x:c r="G24" s="14"/>
      <x:c r="H24" s="26"/>
      <x:c r="I24" s="14"/>
      <x:c r="J24" s="14"/>
    </x:row>
    <x:row r="25" ht="30" customHeight="1">
      <x:c r="A25" s="26"/>
      <x:c r="B25" s="14"/>
      <x:c r="C25" s="14"/>
      <x:c r="D25" s="14"/>
      <x:c r="E25" s="14"/>
      <x:c r="F25" s="14"/>
      <x:c r="G25" s="14"/>
      <x:c r="H25" s="26"/>
      <x:c r="I25" s="14"/>
      <x:c r="J25" s="14"/>
    </x:row>
    <x:row r="26" ht="30" customHeight="1">
      <x:c r="A26" s="26"/>
      <x:c r="B26" s="14"/>
      <x:c r="C26" s="14"/>
      <x:c r="D26" s="14"/>
      <x:c r="E26" s="14"/>
      <x:c r="F26" s="14"/>
      <x:c r="G26" s="14"/>
      <x:c r="H26" s="26"/>
      <x:c r="I26" s="14"/>
      <x:c r="J26" s="14"/>
    </x:row>
    <x:row r="27" ht="30" customHeight="1">
      <x:c r="A27" s="26"/>
      <x:c r="B27" s="14"/>
      <x:c r="C27" s="14"/>
      <x:c r="D27" s="14"/>
      <x:c r="E27" s="14"/>
      <x:c r="F27" s="14"/>
      <x:c r="G27" s="14"/>
      <x:c r="H27" s="26"/>
      <x:c r="I27" s="14"/>
      <x:c r="J27" s="14"/>
    </x:row>
    <x:row r="28" ht="30" customHeight="1">
      <x:c r="A28" s="26"/>
      <x:c r="B28" s="14"/>
      <x:c r="C28" s="14"/>
      <x:c r="D28" s="14"/>
      <x:c r="E28" s="14"/>
      <x:c r="F28" s="14"/>
      <x:c r="G28" s="14"/>
      <x:c r="H28" s="26"/>
      <x:c r="I28" s="14"/>
      <x:c r="J28" s="14"/>
    </x:row>
    <x:row r="29" ht="30" customHeight="1">
      <x:c r="A29" s="26"/>
      <x:c r="B29" s="14"/>
      <x:c r="C29" s="14"/>
      <x:c r="D29" s="14"/>
      <x:c r="E29" s="14"/>
      <x:c r="F29" s="14"/>
      <x:c r="G29" s="14"/>
      <x:c r="H29" s="26"/>
      <x:c r="I29" s="14"/>
      <x:c r="J29" s="14"/>
    </x:row>
    <x:row r="30" ht="30" customHeight="1">
      <x:c r="A30" s="26"/>
      <x:c r="B30" s="14"/>
      <x:c r="C30" s="14"/>
      <x:c r="D30" s="14"/>
      <x:c r="E30" s="14"/>
      <x:c r="F30" s="14"/>
      <x:c r="G30" s="14"/>
      <x:c r="H30" s="26"/>
      <x:c r="I30" s="14"/>
      <x:c r="J30" s="14"/>
    </x:row>
    <x:row r="31" ht="30" customHeight="1">
      <x:c r="A31" s="26"/>
      <x:c r="B31" s="14"/>
      <x:c r="C31" s="14"/>
      <x:c r="D31" s="14"/>
      <x:c r="E31" s="14"/>
      <x:c r="F31" s="14"/>
      <x:c r="G31" s="14"/>
      <x:c r="H31" s="26"/>
      <x:c r="I31" s="14"/>
      <x:c r="J31" s="14"/>
    </x:row>
    <x:row r="32" ht="30" customHeight="1">
      <x:c r="A32" s="26"/>
      <x:c r="B32" s="14"/>
      <x:c r="C32" s="14"/>
      <x:c r="D32" s="14"/>
      <x:c r="E32" s="14"/>
      <x:c r="F32" s="14"/>
      <x:c r="G32" s="14"/>
      <x:c r="H32" s="26"/>
      <x:c r="I32" s="14"/>
      <x:c r="J32" s="14"/>
    </x:row>
    <x:row r="33" ht="30" customHeight="1">
      <x:c r="A33" s="26"/>
      <x:c r="B33" s="14"/>
      <x:c r="C33" s="14"/>
      <x:c r="D33" s="14"/>
      <x:c r="E33" s="14"/>
      <x:c r="F33" s="14"/>
      <x:c r="G33" s="14"/>
      <x:c r="H33" s="26"/>
      <x:c r="I33" s="14"/>
      <x:c r="J33" s="14"/>
    </x:row>
    <x:row r="34" ht="30" customHeight="1">
      <x:c r="A34" s="26"/>
      <x:c r="B34" s="14"/>
      <x:c r="C34" s="14"/>
      <x:c r="D34" s="14"/>
      <x:c r="E34" s="14"/>
      <x:c r="F34" s="14"/>
      <x:c r="G34" s="14"/>
      <x:c r="H34" s="26"/>
      <x:c r="I34" s="14"/>
      <x:c r="J34" s="14"/>
    </x:row>
    <x:row r="35" ht="30" customHeight="1">
      <x:c r="A35" s="26"/>
      <x:c r="B35" s="14"/>
      <x:c r="C35" s="14"/>
      <x:c r="D35" s="14"/>
      <x:c r="E35" s="14"/>
      <x:c r="F35" s="14"/>
      <x:c r="G35" s="14"/>
      <x:c r="H35" s="26"/>
      <x:c r="I35" s="14"/>
      <x:c r="J35" s="14"/>
    </x:row>
    <x:row r="36" ht="30" customHeight="1">
      <x:c r="A36" s="26"/>
      <x:c r="B36" s="14"/>
      <x:c r="C36" s="14"/>
      <x:c r="D36" s="14"/>
      <x:c r="E36" s="14"/>
      <x:c r="F36" s="14"/>
      <x:c r="G36" s="14"/>
      <x:c r="H36" s="26"/>
      <x:c r="I36" s="14"/>
      <x:c r="J36" s="14"/>
    </x:row>
    <x:row r="37" ht="30" customHeight="1">
      <x:c r="A37" s="26"/>
      <x:c r="B37" s="14"/>
      <x:c r="C37" s="14"/>
      <x:c r="D37" s="14"/>
      <x:c r="E37" s="14"/>
      <x:c r="F37" s="14"/>
      <x:c r="G37" s="14"/>
      <x:c r="H37" s="26"/>
      <x:c r="I37" s="14"/>
      <x:c r="J37" s="14"/>
    </x:row>
    <x:row r="38" ht="30" customHeight="1">
      <x:c r="A38" s="26"/>
      <x:c r="B38" s="14"/>
      <x:c r="C38" s="14"/>
      <x:c r="D38" s="14"/>
      <x:c r="E38" s="14"/>
      <x:c r="F38" s="14"/>
      <x:c r="G38" s="14"/>
      <x:c r="H38" s="26"/>
      <x:c r="I38" s="14"/>
      <x:c r="J38" s="14"/>
    </x:row>
    <x:row r="39" ht="30" customHeight="1">
      <x:c r="A39" s="26"/>
      <x:c r="B39" s="14"/>
      <x:c r="C39" s="14"/>
      <x:c r="D39" s="14"/>
      <x:c r="E39" s="14"/>
      <x:c r="F39" s="14"/>
      <x:c r="G39" s="14"/>
      <x:c r="H39" s="26"/>
      <x:c r="I39" s="14"/>
      <x:c r="J39" s="14"/>
    </x:row>
    <x:row r="40" ht="30" customHeight="1">
      <x:c r="A40" s="26"/>
      <x:c r="B40" s="14"/>
      <x:c r="C40" s="14"/>
      <x:c r="D40" s="14"/>
      <x:c r="E40" s="14"/>
      <x:c r="F40" s="14"/>
      <x:c r="G40" s="14"/>
      <x:c r="H40" s="26"/>
      <x:c r="I40" s="14"/>
      <x:c r="J40" s="14"/>
    </x:row>
    <x:row r="41" ht="30" customHeight="1">
      <x:c r="A41" s="26"/>
      <x:c r="B41" s="14"/>
      <x:c r="C41" s="14"/>
      <x:c r="D41" s="14"/>
      <x:c r="E41" s="14"/>
      <x:c r="F41" s="14"/>
      <x:c r="G41" s="14"/>
      <x:c r="H41" s="26"/>
      <x:c r="I41" s="14"/>
      <x:c r="J41" s="14"/>
    </x:row>
    <x:row r="42" ht="30" customHeight="1">
      <x:c r="A42" s="26"/>
      <x:c r="B42" s="14"/>
      <x:c r="C42" s="14"/>
      <x:c r="D42" s="14"/>
      <x:c r="E42" s="14"/>
      <x:c r="F42" s="14"/>
      <x:c r="G42" s="14"/>
      <x:c r="H42" s="26"/>
      <x:c r="I42" s="14"/>
      <x:c r="J42" s="14"/>
    </x:row>
    <x:row r="43" ht="30" customHeight="1">
      <x:c r="A43" s="26"/>
      <x:c r="B43" s="14"/>
      <x:c r="C43" s="14"/>
      <x:c r="D43" s="14"/>
      <x:c r="E43" s="14"/>
      <x:c r="F43" s="14"/>
      <x:c r="G43" s="14"/>
      <x:c r="H43" s="26"/>
      <x:c r="I43" s="14"/>
      <x:c r="J43" s="14"/>
    </x:row>
    <x:row r="44" ht="30" customHeight="1">
      <x:c r="A44" s="26"/>
      <x:c r="B44" s="14"/>
      <x:c r="C44" s="14"/>
      <x:c r="D44" s="14"/>
      <x:c r="E44" s="14"/>
      <x:c r="F44" s="14"/>
      <x:c r="G44" s="14"/>
      <x:c r="H44" s="26"/>
      <x:c r="I44" s="14"/>
      <x:c r="J44" s="14"/>
    </x:row>
    <x:row r="45" ht="30" customHeight="1">
      <x:c r="A45" s="26"/>
      <x:c r="B45" s="14"/>
      <x:c r="C45" s="14"/>
      <x:c r="D45" s="14"/>
      <x:c r="E45" s="14"/>
      <x:c r="F45" s="14"/>
      <x:c r="G45" s="14"/>
      <x:c r="H45" s="26"/>
      <x:c r="I45" s="14"/>
      <x:c r="J45" s="14"/>
    </x:row>
    <x:row r="46" ht="30" customHeight="1">
      <x:c r="A46" s="26"/>
      <x:c r="B46" s="14"/>
      <x:c r="C46" s="14"/>
      <x:c r="D46" s="14"/>
      <x:c r="E46" s="14"/>
      <x:c r="F46" s="14"/>
      <x:c r="G46" s="14"/>
      <x:c r="H46" s="26"/>
      <x:c r="I46" s="14"/>
      <x:c r="J46" s="14"/>
    </x:row>
    <x:row r="47" ht="30" customHeight="1">
      <x:c r="A47" s="26"/>
      <x:c r="B47" s="14"/>
      <x:c r="C47" s="14"/>
      <x:c r="D47" s="14"/>
      <x:c r="E47" s="14"/>
      <x:c r="F47" s="14"/>
      <x:c r="G47" s="14"/>
      <x:c r="H47" s="26"/>
      <x:c r="I47" s="14"/>
      <x:c r="J47" s="14"/>
    </x:row>
    <x:row r="48" ht="30" customHeight="1">
      <x:c r="A48" s="26"/>
      <x:c r="B48" s="14"/>
      <x:c r="C48" s="14"/>
      <x:c r="D48" s="14"/>
      <x:c r="E48" s="14"/>
      <x:c r="F48" s="14"/>
      <x:c r="G48" s="14"/>
      <x:c r="H48" s="26"/>
      <x:c r="I48" s="14"/>
      <x:c r="J48" s="14"/>
    </x:row>
    <x:row r="49" ht="30" customHeight="1">
      <x:c r="A49" s="26"/>
      <x:c r="B49" s="14"/>
      <x:c r="C49" s="14"/>
      <x:c r="D49" s="14"/>
      <x:c r="E49" s="14"/>
      <x:c r="F49" s="14"/>
      <x:c r="G49" s="14"/>
      <x:c r="H49" s="26"/>
      <x:c r="I49" s="14"/>
      <x:c r="J49" s="14"/>
    </x:row>
    <x:row r="50" ht="30" customHeight="1">
      <x:c r="A50" s="26"/>
      <x:c r="B50" s="14"/>
      <x:c r="C50" s="14"/>
      <x:c r="D50" s="14"/>
      <x:c r="E50" s="14"/>
      <x:c r="F50" s="14"/>
      <x:c r="G50" s="14"/>
      <x:c r="H50" s="26"/>
      <x:c r="I50" s="14"/>
      <x:c r="J50" s="14"/>
    </x:row>
    <x:row r="51" ht="30" customHeight="1">
      <x:c r="A51" s="26"/>
      <x:c r="B51" s="14"/>
      <x:c r="C51" s="14"/>
      <x:c r="D51" s="14"/>
      <x:c r="E51" s="14"/>
      <x:c r="F51" s="14"/>
      <x:c r="G51" s="14"/>
      <x:c r="H51" s="26"/>
      <x:c r="I51" s="14"/>
      <x:c r="J51" s="14"/>
    </x:row>
    <x:row r="52" ht="30" customHeight="1">
      <x:c r="A52" s="26"/>
      <x:c r="B52" s="14"/>
      <x:c r="C52" s="14"/>
      <x:c r="D52" s="14"/>
      <x:c r="E52" s="14"/>
      <x:c r="F52" s="14"/>
      <x:c r="G52" s="14"/>
      <x:c r="H52" s="26"/>
      <x:c r="I52" s="14"/>
      <x:c r="J52" s="14"/>
    </x:row>
    <x:row r="53" ht="30" customHeight="1">
      <x:c r="A53" s="26"/>
      <x:c r="B53" s="14"/>
      <x:c r="C53" s="14"/>
      <x:c r="D53" s="14"/>
      <x:c r="E53" s="14"/>
      <x:c r="F53" s="14"/>
      <x:c r="G53" s="14"/>
      <x:c r="H53" s="26"/>
      <x:c r="I53" s="14"/>
      <x:c r="J53" s="14"/>
    </x:row>
    <x:row r="54" ht="30" customHeight="1">
      <x:c r="A54" s="26"/>
      <x:c r="B54" s="14"/>
      <x:c r="C54" s="14"/>
      <x:c r="D54" s="14"/>
      <x:c r="E54" s="14"/>
      <x:c r="F54" s="14"/>
      <x:c r="G54" s="14"/>
      <x:c r="H54" s="26"/>
      <x:c r="I54" s="14"/>
      <x:c r="J54" s="14"/>
    </x:row>
    <x:row r="55" ht="30" customHeight="1">
      <x:c r="A55" s="26"/>
      <x:c r="B55" s="14"/>
      <x:c r="C55" s="14"/>
      <x:c r="D55" s="14"/>
      <x:c r="E55" s="14"/>
      <x:c r="F55" s="14"/>
      <x:c r="G55" s="14"/>
      <x:c r="H55" s="26"/>
      <x:c r="I55" s="14"/>
      <x:c r="J55" s="14"/>
    </x:row>
    <x:row r="56" ht="30" customHeight="1">
      <x:c r="A56" s="26"/>
      <x:c r="B56" s="14"/>
      <x:c r="C56" s="14"/>
      <x:c r="D56" s="14"/>
      <x:c r="E56" s="14"/>
      <x:c r="F56" s="14"/>
      <x:c r="G56" s="14"/>
      <x:c r="H56" s="26"/>
      <x:c r="I56" s="14"/>
      <x:c r="J56" s="14"/>
    </x:row>
    <x:row r="57" ht="30" customHeight="1">
      <x:c r="A57" s="26"/>
      <x:c r="B57" s="14"/>
      <x:c r="C57" s="14"/>
      <x:c r="D57" s="14"/>
      <x:c r="E57" s="14"/>
      <x:c r="F57" s="14"/>
      <x:c r="G57" s="14"/>
      <x:c r="H57" s="26"/>
      <x:c r="I57" s="14"/>
      <x:c r="J57" s="14"/>
    </x:row>
    <x:row r="58" ht="30" customHeight="1">
      <x:c r="A58" s="26"/>
      <x:c r="B58" s="14"/>
      <x:c r="C58" s="14"/>
      <x:c r="D58" s="14"/>
      <x:c r="E58" s="14"/>
      <x:c r="F58" s="14"/>
      <x:c r="G58" s="14"/>
      <x:c r="H58" s="26"/>
      <x:c r="I58" s="14"/>
      <x:c r="J58" s="14"/>
    </x:row>
    <x:row r="59" ht="30" customHeight="1">
      <x:c r="A59" s="26"/>
      <x:c r="B59" s="14"/>
      <x:c r="C59" s="14"/>
      <x:c r="D59" s="14"/>
      <x:c r="E59" s="14"/>
      <x:c r="F59" s="14"/>
      <x:c r="G59" s="14"/>
      <x:c r="H59" s="26"/>
      <x:c r="I59" s="14"/>
      <x:c r="J59" s="14"/>
    </x:row>
    <x:row r="60" ht="30" customHeight="1">
      <x:c r="A60" s="26"/>
      <x:c r="B60" s="14"/>
      <x:c r="C60" s="14"/>
      <x:c r="D60" s="14"/>
      <x:c r="E60" s="14"/>
      <x:c r="F60" s="14"/>
      <x:c r="G60" s="14"/>
      <x:c r="H60" s="26"/>
      <x:c r="I60" s="14"/>
      <x:c r="J60" s="14"/>
    </x:row>
    <x:row r="61" ht="30" customHeight="1">
      <x:c r="A61" s="26"/>
      <x:c r="B61" s="14"/>
      <x:c r="C61" s="14"/>
      <x:c r="D61" s="14"/>
      <x:c r="E61" s="14"/>
      <x:c r="F61" s="14"/>
      <x:c r="G61" s="14"/>
      <x:c r="H61" s="26"/>
      <x:c r="I61" s="14"/>
      <x:c r="J61" s="14"/>
    </x:row>
    <x:row r="62" ht="30" customHeight="1">
      <x:c r="A62" s="26"/>
      <x:c r="B62" s="14"/>
      <x:c r="C62" s="14"/>
      <x:c r="D62" s="14"/>
      <x:c r="E62" s="14"/>
      <x:c r="F62" s="14"/>
      <x:c r="G62" s="14"/>
      <x:c r="H62" s="26"/>
      <x:c r="I62" s="14"/>
      <x:c r="J62" s="14"/>
    </x:row>
    <x:row r="63" ht="30" customHeight="1">
      <x:c r="A63" s="26"/>
      <x:c r="B63" s="14"/>
      <x:c r="C63" s="14"/>
      <x:c r="D63" s="14"/>
      <x:c r="E63" s="14"/>
      <x:c r="F63" s="14"/>
      <x:c r="G63" s="14"/>
      <x:c r="H63" s="26"/>
      <x:c r="I63" s="14"/>
      <x:c r="J63" s="14"/>
    </x:row>
    <x:row r="64" ht="30" customHeight="1">
      <x:c r="A64" s="26"/>
      <x:c r="B64" s="14"/>
      <x:c r="C64" s="14"/>
      <x:c r="D64" s="14"/>
      <x:c r="E64" s="14"/>
      <x:c r="F64" s="14"/>
      <x:c r="G64" s="14"/>
      <x:c r="H64" s="26"/>
      <x:c r="I64" s="14"/>
      <x:c r="J64" s="14"/>
    </x:row>
    <x:row r="65" ht="30" customHeight="1">
      <x:c r="A65" s="26"/>
      <x:c r="B65" s="14"/>
      <x:c r="C65" s="14"/>
      <x:c r="D65" s="14"/>
      <x:c r="E65" s="14"/>
      <x:c r="F65" s="14"/>
      <x:c r="G65" s="14"/>
      <x:c r="H65" s="26"/>
      <x:c r="I65" s="14"/>
      <x:c r="J65" s="14"/>
    </x:row>
    <x:row r="66" ht="30" customHeight="1">
      <x:c r="A66" s="26"/>
      <x:c r="B66" s="14"/>
      <x:c r="C66" s="14"/>
      <x:c r="D66" s="14"/>
      <x:c r="E66" s="14"/>
      <x:c r="F66" s="14"/>
      <x:c r="G66" s="14"/>
      <x:c r="H66" s="26"/>
      <x:c r="I66" s="14"/>
      <x:c r="J66" s="14"/>
    </x:row>
    <x:row r="67" ht="30" customHeight="1">
      <x:c r="A67" s="26"/>
      <x:c r="B67" s="14"/>
      <x:c r="C67" s="14"/>
      <x:c r="D67" s="14"/>
      <x:c r="E67" s="14"/>
      <x:c r="F67" s="14"/>
      <x:c r="G67" s="14"/>
      <x:c r="H67" s="26"/>
      <x:c r="I67" s="14"/>
      <x:c r="J67" s="14"/>
    </x:row>
    <x:row r="68" ht="30" customHeight="1">
      <x:c r="A68" s="26"/>
      <x:c r="B68" s="14"/>
      <x:c r="C68" s="14"/>
      <x:c r="D68" s="14"/>
      <x:c r="E68" s="14"/>
      <x:c r="F68" s="14"/>
      <x:c r="G68" s="14"/>
      <x:c r="H68" s="26"/>
      <x:c r="I68" s="14"/>
      <x:c r="J68" s="14"/>
    </x:row>
    <x:row r="69" ht="30" customHeight="1">
      <x:c r="A69" s="26"/>
      <x:c r="B69" s="14"/>
      <x:c r="C69" s="14"/>
      <x:c r="D69" s="14"/>
      <x:c r="E69" s="14"/>
      <x:c r="F69" s="14"/>
      <x:c r="G69" s="14"/>
      <x:c r="H69" s="26"/>
      <x:c r="I69" s="14"/>
      <x:c r="J69" s="14"/>
    </x:row>
    <x:row r="70" ht="30" customHeight="1">
      <x:c r="A70" s="26"/>
      <x:c r="B70" s="14"/>
      <x:c r="C70" s="14"/>
      <x:c r="D70" s="14"/>
      <x:c r="E70" s="14"/>
      <x:c r="F70" s="14"/>
      <x:c r="G70" s="14"/>
      <x:c r="H70" s="26"/>
      <x:c r="I70" s="14"/>
      <x:c r="J70" s="14"/>
    </x:row>
    <x:row r="71" ht="30" customHeight="1">
      <x:c r="A71" s="26"/>
      <x:c r="B71" s="14"/>
      <x:c r="C71" s="14"/>
      <x:c r="D71" s="14"/>
      <x:c r="E71" s="14"/>
      <x:c r="F71" s="14"/>
      <x:c r="G71" s="14"/>
      <x:c r="H71" s="26"/>
      <x:c r="I71" s="14"/>
      <x:c r="J71" s="14"/>
    </x:row>
    <x:row r="72" ht="30" customHeight="1">
      <x:c r="A72" s="26"/>
      <x:c r="B72" s="14"/>
      <x:c r="C72" s="14"/>
      <x:c r="D72" s="14"/>
      <x:c r="E72" s="14"/>
      <x:c r="F72" s="14"/>
      <x:c r="G72" s="14"/>
      <x:c r="H72" s="26"/>
      <x:c r="I72" s="14"/>
      <x:c r="J72" s="14"/>
    </x:row>
    <x:row r="73" ht="30" customHeight="1">
      <x:c r="A73" s="26"/>
      <x:c r="B73" s="14"/>
      <x:c r="C73" s="14"/>
      <x:c r="D73" s="14"/>
      <x:c r="E73" s="14"/>
      <x:c r="F73" s="14"/>
      <x:c r="G73" s="14"/>
      <x:c r="H73" s="26"/>
      <x:c r="I73" s="14"/>
      <x:c r="J73" s="14"/>
    </x:row>
    <x:row r="74" ht="30" customHeight="1">
      <x:c r="A74" s="26"/>
      <x:c r="B74" s="14"/>
      <x:c r="C74" s="14"/>
      <x:c r="D74" s="14"/>
      <x:c r="E74" s="14"/>
      <x:c r="F74" s="14"/>
      <x:c r="G74" s="14"/>
      <x:c r="H74" s="26"/>
      <x:c r="I74" s="14"/>
      <x:c r="J74" s="14"/>
    </x:row>
    <x:row r="75" ht="30" customHeight="1">
      <x:c r="A75" s="26"/>
      <x:c r="B75" s="14"/>
      <x:c r="C75" s="14"/>
      <x:c r="D75" s="14"/>
      <x:c r="E75" s="14"/>
      <x:c r="F75" s="14"/>
      <x:c r="G75" s="14"/>
      <x:c r="H75" s="26"/>
      <x:c r="I75" s="14"/>
      <x:c r="J75" s="14"/>
    </x:row>
    <x:row r="76" ht="30" customHeight="1">
      <x:c r="A76" s="26"/>
      <x:c r="B76" s="14"/>
      <x:c r="C76" s="14"/>
      <x:c r="D76" s="14"/>
      <x:c r="E76" s="14"/>
      <x:c r="F76" s="14"/>
      <x:c r="G76" s="14"/>
      <x:c r="H76" s="26"/>
      <x:c r="I76" s="14"/>
      <x:c r="J76" s="14"/>
    </x:row>
    <x:row r="77" ht="30" customHeight="1">
      <x:c r="A77" s="26"/>
      <x:c r="B77" s="14"/>
      <x:c r="C77" s="14"/>
      <x:c r="D77" s="14"/>
      <x:c r="E77" s="14"/>
      <x:c r="F77" s="14"/>
      <x:c r="G77" s="14"/>
      <x:c r="H77" s="26"/>
      <x:c r="I77" s="14"/>
      <x:c r="J77" s="14"/>
    </x:row>
    <x:row r="78" ht="30" customHeight="1">
      <x:c r="A78" s="26"/>
      <x:c r="B78" s="14"/>
      <x:c r="C78" s="14"/>
      <x:c r="D78" s="14"/>
      <x:c r="E78" s="14"/>
      <x:c r="F78" s="14"/>
      <x:c r="G78" s="14"/>
      <x:c r="H78" s="26"/>
      <x:c r="I78" s="14"/>
      <x:c r="J78" s="14"/>
    </x:row>
    <x:row r="79" ht="30" customHeight="1">
      <x:c r="A79" s="26"/>
      <x:c r="B79" s="14"/>
      <x:c r="C79" s="14"/>
      <x:c r="D79" s="14"/>
      <x:c r="E79" s="14"/>
      <x:c r="F79" s="14"/>
      <x:c r="G79" s="14"/>
      <x:c r="H79" s="26"/>
      <x:c r="I79" s="14"/>
      <x:c r="J79" s="14"/>
    </x:row>
    <x:row r="80" ht="30" customHeight="1">
      <x:c r="A80" s="26"/>
      <x:c r="B80" s="14"/>
      <x:c r="C80" s="14"/>
      <x:c r="D80" s="14"/>
      <x:c r="E80" s="14"/>
      <x:c r="F80" s="14"/>
      <x:c r="G80" s="14"/>
      <x:c r="H80" s="26"/>
      <x:c r="I80" s="14"/>
      <x:c r="J80" s="14"/>
    </x:row>
    <x:row r="81" ht="30" customHeight="1">
      <x:c r="A81" s="26"/>
      <x:c r="B81" s="14"/>
      <x:c r="C81" s="14"/>
      <x:c r="D81" s="14"/>
      <x:c r="E81" s="14"/>
      <x:c r="F81" s="14"/>
      <x:c r="G81" s="14"/>
      <x:c r="H81" s="26"/>
      <x:c r="I81" s="14"/>
      <x:c r="J81" s="14"/>
    </x:row>
    <x:row r="82" ht="30" customHeight="1">
      <x:c r="A82" s="26"/>
      <x:c r="B82" s="14"/>
      <x:c r="C82" s="14"/>
      <x:c r="D82" s="14"/>
      <x:c r="E82" s="14"/>
      <x:c r="F82" s="14"/>
      <x:c r="G82" s="14"/>
      <x:c r="H82" s="26"/>
      <x:c r="I82" s="14"/>
      <x:c r="J82" s="14"/>
    </x:row>
    <x:row r="83" ht="30" customHeight="1">
      <x:c r="A83" s="26"/>
      <x:c r="B83" s="14"/>
      <x:c r="C83" s="14"/>
      <x:c r="D83" s="14"/>
      <x:c r="E83" s="14"/>
      <x:c r="F83" s="14"/>
      <x:c r="G83" s="14"/>
      <x:c r="H83" s="26"/>
      <x:c r="I83" s="14"/>
      <x:c r="J83" s="14"/>
    </x:row>
    <x:row r="84" ht="30" customHeight="1">
      <x:c r="A84" s="26"/>
      <x:c r="B84" s="14"/>
      <x:c r="C84" s="14"/>
      <x:c r="D84" s="14"/>
      <x:c r="E84" s="14"/>
      <x:c r="F84" s="14"/>
      <x:c r="G84" s="14"/>
      <x:c r="H84" s="26"/>
      <x:c r="I84" s="14"/>
      <x:c r="J84" s="14"/>
    </x:row>
    <x:row r="85" ht="30" customHeight="1">
      <x:c r="A85" s="26"/>
      <x:c r="B85" s="14"/>
      <x:c r="C85" s="14"/>
      <x:c r="D85" s="14"/>
      <x:c r="E85" s="14"/>
      <x:c r="F85" s="14"/>
      <x:c r="G85" s="14"/>
      <x:c r="H85" s="26"/>
      <x:c r="I85" s="14"/>
      <x:c r="J85" s="14"/>
    </x:row>
    <x:row r="86" ht="30" customHeight="1">
      <x:c r="A86" s="26"/>
      <x:c r="B86" s="14"/>
      <x:c r="C86" s="14"/>
      <x:c r="D86" s="14"/>
      <x:c r="E86" s="14"/>
      <x:c r="F86" s="14"/>
      <x:c r="G86" s="14"/>
      <x:c r="H86" s="26"/>
      <x:c r="I86" s="14"/>
      <x:c r="J86" s="14"/>
    </x:row>
    <x:row r="87" ht="30" customHeight="1">
      <x:c r="A87" s="26"/>
      <x:c r="B87" s="14"/>
      <x:c r="C87" s="14"/>
      <x:c r="D87" s="14"/>
      <x:c r="E87" s="14"/>
      <x:c r="F87" s="14"/>
      <x:c r="G87" s="14"/>
      <x:c r="H87" s="26"/>
      <x:c r="I87" s="14"/>
      <x:c r="J87" s="14"/>
    </x:row>
    <x:row r="88" ht="30" customHeight="1">
      <x:c r="A88" s="26"/>
      <x:c r="B88" s="14"/>
      <x:c r="C88" s="14"/>
      <x:c r="D88" s="14"/>
      <x:c r="E88" s="14"/>
      <x:c r="F88" s="14"/>
      <x:c r="G88" s="14"/>
      <x:c r="H88" s="26"/>
      <x:c r="I88" s="14"/>
      <x:c r="J88" s="14"/>
    </x:row>
    <x:row r="89" ht="30" customHeight="1">
      <x:c r="A89" s="26"/>
      <x:c r="B89" s="14"/>
      <x:c r="C89" s="14"/>
      <x:c r="D89" s="14"/>
      <x:c r="E89" s="14"/>
      <x:c r="F89" s="14"/>
      <x:c r="G89" s="14"/>
      <x:c r="H89" s="26"/>
      <x:c r="I89" s="14"/>
      <x:c r="J89" s="14"/>
    </x:row>
    <x:row r="90" ht="30" customHeight="1">
      <x:c r="A90" s="26"/>
      <x:c r="B90" s="14"/>
      <x:c r="C90" s="14"/>
      <x:c r="D90" s="14"/>
      <x:c r="E90" s="14"/>
      <x:c r="F90" s="14"/>
      <x:c r="G90" s="14"/>
      <x:c r="H90" s="26"/>
      <x:c r="I90" s="14"/>
      <x:c r="J90" s="14"/>
    </x:row>
    <x:row r="91" ht="30" customHeight="1">
      <x:c r="A91" s="26"/>
      <x:c r="B91" s="14"/>
      <x:c r="C91" s="14"/>
      <x:c r="D91" s="14"/>
      <x:c r="E91" s="14"/>
      <x:c r="F91" s="14"/>
      <x:c r="G91" s="14"/>
      <x:c r="H91" s="26"/>
      <x:c r="I91" s="14"/>
      <x:c r="J91" s="14"/>
    </x:row>
    <x:row r="92" ht="30" customHeight="1">
      <x:c r="A92" s="26"/>
      <x:c r="B92" s="14"/>
      <x:c r="C92" s="14"/>
      <x:c r="D92" s="14"/>
      <x:c r="E92" s="14"/>
      <x:c r="F92" s="14"/>
      <x:c r="G92" s="14"/>
      <x:c r="H92" s="26"/>
      <x:c r="I92" s="14"/>
      <x:c r="J92" s="14"/>
    </x:row>
    <x:row r="93" ht="30" customHeight="1">
      <x:c r="A93" s="26"/>
      <x:c r="B93" s="14"/>
      <x:c r="C93" s="14"/>
      <x:c r="D93" s="14"/>
      <x:c r="E93" s="14"/>
      <x:c r="F93" s="14"/>
      <x:c r="G93" s="14"/>
      <x:c r="H93" s="26"/>
      <x:c r="I93" s="14"/>
      <x:c r="J93" s="14"/>
    </x:row>
    <x:row r="94" ht="30" customHeight="1">
      <x:c r="A94" s="26"/>
      <x:c r="B94" s="14"/>
      <x:c r="C94" s="14"/>
      <x:c r="D94" s="14"/>
      <x:c r="E94" s="14"/>
      <x:c r="F94" s="14"/>
      <x:c r="G94" s="14"/>
      <x:c r="H94" s="26"/>
      <x:c r="I94" s="14"/>
      <x:c r="J94" s="14"/>
    </x:row>
    <x:row r="95" ht="30" customHeight="1">
      <x:c r="A95" s="26"/>
      <x:c r="B95" s="14"/>
      <x:c r="C95" s="14"/>
      <x:c r="D95" s="14"/>
      <x:c r="E95" s="14"/>
      <x:c r="F95" s="14"/>
      <x:c r="G95" s="14"/>
      <x:c r="H95" s="26"/>
      <x:c r="I95" s="14"/>
      <x:c r="J95" s="14"/>
    </x:row>
    <x:row r="96" ht="30" customHeight="1">
      <x:c r="A96" s="26"/>
      <x:c r="B96" s="14"/>
      <x:c r="C96" s="14"/>
      <x:c r="D96" s="14"/>
      <x:c r="E96" s="14"/>
      <x:c r="F96" s="14"/>
      <x:c r="G96" s="14"/>
      <x:c r="H96" s="26"/>
      <x:c r="I96" s="14"/>
      <x:c r="J96" s="14"/>
    </x:row>
    <x:row r="97" ht="30" customHeight="1">
      <x:c r="A97" s="26"/>
      <x:c r="B97" s="14"/>
      <x:c r="C97" s="14"/>
      <x:c r="D97" s="14"/>
      <x:c r="E97" s="14"/>
      <x:c r="F97" s="14"/>
      <x:c r="G97" s="14"/>
      <x:c r="H97" s="26"/>
      <x:c r="I97" s="14"/>
      <x:c r="J97" s="14"/>
    </x:row>
    <x:row r="98" ht="30" customHeight="1">
      <x:c r="A98" s="26"/>
      <x:c r="B98" s="14"/>
      <x:c r="C98" s="14"/>
      <x:c r="D98" s="14"/>
      <x:c r="E98" s="14"/>
      <x:c r="F98" s="14"/>
      <x:c r="G98" s="14"/>
      <x:c r="H98" s="26"/>
      <x:c r="I98" s="14"/>
      <x:c r="J98" s="14"/>
    </x:row>
    <x:row r="99" ht="30" customHeight="1">
      <x:c r="A99" s="26"/>
      <x:c r="B99" s="14"/>
      <x:c r="C99" s="14"/>
      <x:c r="D99" s="14"/>
      <x:c r="E99" s="14"/>
      <x:c r="F99" s="14"/>
      <x:c r="G99" s="14"/>
      <x:c r="H99" s="26"/>
      <x:c r="I99" s="14"/>
      <x:c r="J99" s="14"/>
    </x:row>
    <x:row r="100" ht="30" customHeight="1">
      <x:c r="A100" s="26"/>
      <x:c r="B100" s="14"/>
      <x:c r="C100" s="14"/>
      <x:c r="D100" s="14"/>
      <x:c r="E100" s="14"/>
      <x:c r="F100" s="14"/>
      <x:c r="G100" s="14"/>
      <x:c r="H100" s="26"/>
      <x:c r="I100" s="14"/>
      <x:c r="J100" s="14"/>
    </x:row>
    <x:row r="101" ht="30" customHeight="1">
      <x:c r="A101" s="26"/>
      <x:c r="B101" s="14"/>
      <x:c r="C101" s="14"/>
      <x:c r="D101" s="14"/>
      <x:c r="E101" s="14"/>
      <x:c r="F101" s="14"/>
      <x:c r="G101" s="14"/>
      <x:c r="H101" s="26"/>
      <x:c r="I101" s="14"/>
      <x:c r="J101" s="14"/>
    </x:row>
    <x:row r="102" ht="30" customHeight="1">
      <x:c r="A102" s="26"/>
      <x:c r="B102" s="14"/>
      <x:c r="C102" s="14"/>
      <x:c r="D102" s="14"/>
      <x:c r="E102" s="14"/>
      <x:c r="F102" s="14"/>
      <x:c r="G102" s="14"/>
      <x:c r="H102" s="26"/>
      <x:c r="I102" s="14"/>
      <x:c r="J102" s="14"/>
    </x:row>
    <x:row r="103" ht="30" customHeight="1">
      <x:c r="A103" s="26"/>
      <x:c r="B103" s="14"/>
      <x:c r="C103" s="14"/>
      <x:c r="D103" s="14"/>
      <x:c r="E103" s="14"/>
      <x:c r="F103" s="14"/>
      <x:c r="G103" s="14"/>
      <x:c r="H103" s="26"/>
      <x:c r="I103" s="14"/>
      <x:c r="J103" s="14"/>
    </x:row>
  </x:sheetData>
  <x:mergeCells>
    <x:mergeCell ref="A1:J1"/>
  </x:mergeCells>
  <x:dataValidations count="1">
    <x:dataValidation type="list" sqref="B4:B103">
      <x:formula1>"Instagram"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92" hidden="0" customWidth="1"/>
    <x:col min="3" max="3" width="13" hidden="0" customWidth="1"/>
    <x:col min="4" max="4" width="13" hidden="0" customWidth="1"/>
  </x:cols>
  <x:sheetData>
    <x:row r="1" ht="37" customHeight="1">
      <x:c r="A1" s="4" t="str">
        <x:v>GLOSSÁRIO E CRITÉRIOS  |  INSTAGRAM</x:v>
      </x:c>
      <x:c r="B1" s="4"/>
      <x:c r="C1" s="4"/>
      <x:c r="D1" s="4"/>
    </x:row>
    <x:row r="3" ht="42" customHeight="1">
      <x:c r="A3" s="21" t="str">
        <x:v>Termo</x:v>
      </x:c>
      <x:c r="B3" s="21" t="str">
        <x:v>Definição / interpretação</x:v>
      </x:c>
    </x:row>
    <x:row r="4" ht="43" customHeight="1">
      <x:c r="A4" s="9" t="str">
        <x:v>Janela 7d</x:v>
      </x:c>
      <x:c r="B4" s="12" t="str">
        <x:v>Medição do conteúdo entre o 7º e 10º dia após publicação.</x:v>
      </x:c>
    </x:row>
    <x:row r="5" ht="43" customHeight="1">
      <x:c r="A5" s="9" t="str">
        <x:v>Janela 30d</x:v>
      </x:c>
      <x:c r="B5" s="12" t="str">
        <x:v>Medição do conteúdo entre o 30º e 35º dia após publicação.</x:v>
      </x:c>
    </x:row>
    <x:row r="6" ht="43" customHeight="1">
      <x:c r="A6" s="9" t="str">
        <x:v>Janela Atual</x:v>
      </x:c>
      <x:c r="B6" s="12" t="str">
        <x:v>Medição na data em que o usuário abriu os Insights; idades podem diferir.</x:v>
      </x:c>
    </x:row>
    <x:row r="7" ht="43" customHeight="1">
      <x:c r="A7" s="9" t="str">
        <x:v>Dado em branco</x:v>
      </x:c>
      <x:c r="B7" s="12" t="str">
        <x:v>Métrica indisponível ou não coletada. Não equivale a zero.</x:v>
      </x:c>
    </x:row>
    <x:row r="8" ht="43" customHeight="1">
      <x:c r="A8" s="9" t="str">
        <x:v>Validação OK</x:v>
      </x:c>
      <x:c r="B8" s="12" t="str">
        <x:v>Registro com data, ID, janela e visualizações, sem duplicidade ou erro de janela.</x:v>
      </x:c>
    </x:row>
    <x:row r="9" ht="43" customHeight="1">
      <x:c r="A9" s="9" t="str">
        <x:v>Média das taxas</x:v>
      </x:c>
      <x:c r="B9" s="12" t="str">
        <x:v>Média simples das taxas por conteúdo; não é taxa ponderada por alcance ou views.</x:v>
      </x:c>
    </x:row>
    <x:row r="10" ht="43" customHeight="1">
      <x:c r="A10" s="9" t="str">
        <x:v>Visualizações</x:v>
      </x:c>
      <x:c r="B10" s="12" t="str">
        <x:v>Contagens de visualizações/exibições, não necessariamente pessoas únicas.</x:v>
      </x:c>
    </x:row>
    <x:row r="11" ht="43" customHeight="1">
      <x:c r="A11" s="9" t="str">
        <x:v>Tempo médio / duração</x:v>
      </x:c>
      <x:c r="B11" s="12" t="str">
        <x:v>Razão do tempo médio assistido pela duração do vídeo; pode superar 100%.</x:v>
      </x:c>
    </x:row>
    <x:row r="12" ht="43" customHeight="1">
      <x:c r="A12" s="9" t="str">
        <x:v>Seguidores atribuídos</x:v>
      </x:c>
      <x:c r="B12" s="12" t="str">
        <x:v>Número somente quando a plataforma atribui seguidores ao conteúdo.</x:v>
      </x:c>
    </x:row>
    <x:row r="13" ht="43" customHeight="1">
      <x:c r="A13" s="9" t="str">
        <x:v>Verificações</x:v>
      </x:c>
      <x:c r="B13" s="12" t="str">
        <x:v>Fonte, janela, registro correto e amostra antes de interpretar resultados.</x:v>
      </x:c>
    </x:row>
    <x:row r="14" ht="43" customHeight="1">
      <x:c r="A14" s="9" t="str">
        <x:v>Alcance</x:v>
      </x:c>
      <x:c r="B14" s="12" t="str">
        <x:v>Número de contas alcançadas, quando fornecido pelo Instagram.</x:v>
      </x:c>
    </x:row>
    <x:row r="15" ht="43" customHeight="1">
      <x:c r="A15" s="9" t="str">
        <x:v>Interação / alcance</x:v>
      </x:c>
      <x:c r="B15" s="12" t="str">
        <x:v>(Curtidas + comentários + compartilhamentos + salvamentos)/alcance.</x:v>
      </x:c>
    </x:row>
    <x:row r="16" ht="43" customHeight="1">
      <x:c r="A16" s="9" t="str">
        <x:v>Taxa de pulo</x:v>
      </x:c>
      <x:c r="B16" s="12" t="str">
        <x:v>Inserida manualmente apenas se o Instagram apresentar a métrica.</x:v>
      </x:c>
    </x:row>
    <x:row r="17" ht="43" customHeight="1">
      <x:c r="A17" s="9" t="str">
        <x:v>Compart. / alcance</x:v>
      </x:c>
      <x:c r="B17" s="12" t="str">
        <x:v>Compartilhamentos divididos pelo alcance do mesmo conteúdo.</x:v>
      </x:c>
    </x:row>
    <x:row r="18" ht="43" customHeight="1">
      <x:c r="A18" s="9" t="str">
        <x:v>Salvam. / alcance</x:v>
      </x:c>
      <x:c r="B18" s="12" t="str">
        <x:v>Salvamentos divididos pelo alcance do mesmo conteúdo.</x:v>
      </x:c>
    </x:row>
  </x:sheetData>
  <x:mergeCells>
    <x:mergeCell ref="A1:D1"/>
  </x:mergeCells>
  <x:pageMargins left="0.7" right="0.7" top="0.75" bottom="0.75" header="0.3" footer="0.3"/>
</x:worksheet>
</file>